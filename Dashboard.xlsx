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pivotTables/pivotTable7.xml" ContentType="application/vnd.openxmlformats-officedocument.spreadsheetml.pivot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Downloads\Projeto 2 Excel\"/>
    </mc:Choice>
  </mc:AlternateContent>
  <xr:revisionPtr revIDLastSave="0" documentId="13_ncr:1_{D57CD931-B99F-40DA-9A37-2752FD1309EA}" xr6:coauthVersionLast="47" xr6:coauthVersionMax="47" xr10:uidLastSave="{00000000-0000-0000-0000-000000000000}"/>
  <bookViews>
    <workbookView xWindow="-28920" yWindow="-135" windowWidth="29040" windowHeight="15720" activeTab="2" xr2:uid="{56181ED1-219D-4F37-A46E-C500B6965AAB}"/>
  </bookViews>
  <sheets>
    <sheet name="00_Tabela Dinamica" sheetId="11" r:id="rId1"/>
    <sheet name="01_base_dados" sheetId="1" r:id="rId2"/>
    <sheet name="02_Dashboard" sheetId="12" r:id="rId3"/>
    <sheet name="001_Clientes Ativos" sheetId="3" state="hidden" r:id="rId4"/>
    <sheet name="002_Clientes Cancelados" sheetId="4" state="hidden" r:id="rId5"/>
    <sheet name="002_Ticket Médio" sheetId="5" state="hidden" r:id="rId6"/>
    <sheet name="003_Planos" sheetId="6" state="hidden" r:id="rId7"/>
    <sheet name="004_Dias Medio" sheetId="7" state="hidden" r:id="rId8"/>
    <sheet name="005_Porcentagem Cancelamento" sheetId="8" state="hidden" r:id="rId9"/>
    <sheet name="006_Receita por plano" sheetId="10" state="hidden" r:id="rId10"/>
    <sheet name="007_Clientes novos por mes" sheetId="9" state="hidden" r:id="rId11"/>
  </sheets>
  <definedNames>
    <definedName name="DadosExternos_1" localSheetId="3" hidden="1">'001_Clientes Ativos'!$A$1:$A$2</definedName>
    <definedName name="DadosExternos_2" localSheetId="4" hidden="1">'002_Clientes Cancelados'!$A$1:$A$2</definedName>
    <definedName name="DadosExternos_2" localSheetId="5" hidden="1">'002_Ticket Médio'!$A$1:$A$2</definedName>
    <definedName name="DadosExternos_3" localSheetId="6" hidden="1">'003_Planos'!$A$1:$B$4</definedName>
    <definedName name="DadosExternos_4" localSheetId="7" hidden="1">'004_Dias Medio'!$A$1:$A$2</definedName>
    <definedName name="DadosExternos_4" localSheetId="8" hidden="1">'005_Porcentagem Cancelamento'!$A$1:$A$2</definedName>
    <definedName name="DadosExternos_5" localSheetId="10" hidden="1">'007_Clientes novos por mes'!$A$1:$B$12</definedName>
    <definedName name="DadosExternos_6" localSheetId="9" hidden="1">'006_Receita por plano'!$A$1:$B$4</definedName>
    <definedName name="SegmentaçãodeDados_Meses__data_inicio">#N/A</definedName>
    <definedName name="SegmentaçãodeDados_plano">#N/A</definedName>
    <definedName name="SegmentaçãodeDados_status">#N/A</definedName>
  </definedNames>
  <calcPr calcId="191029"/>
  <pivotCaches>
    <pivotCache cacheId="0" r:id="rId12"/>
    <pivotCache cacheId="1" r:id="rId13"/>
  </pivotCaches>
  <extLst>
    <ext xmlns:x14="http://schemas.microsoft.com/office/spreadsheetml/2009/9/main" uri="{BBE1A952-AA13-448e-AADC-164F8A28A991}">
      <x14:slicerCaches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D389F5-BD15-4C66-BFED-7C143C3CD302}" keepAlive="1" name="Consulta - Clientes Ativos" description="Conexão com a consulta 'Clientes Ativos' na pasta de trabalho." type="5" refreshedVersion="8" background="1" saveData="1">
    <dbPr connection="Provider=Microsoft.Mashup.OleDb.1;Data Source=$Workbook$;Location=&quot;Clientes Ativos&quot;;Extended Properties=&quot;&quot;" command="SELECT * FROM [Clientes Ativos]"/>
  </connection>
  <connection id="2" xr16:uid="{DEAFD7E9-C7E6-48D2-9E88-1D4489DED0D8}" keepAlive="1" name="Consulta - Clientes Cancelados" description="Conexão com a consulta 'Clientes Cancelados' na pasta de trabalho." type="5" refreshedVersion="8" background="1" saveData="1">
    <dbPr connection="Provider=Microsoft.Mashup.OleDb.1;Data Source=$Workbook$;Location=&quot;Clientes Cancelados&quot;;Extended Properties=&quot;&quot;" command="SELECT * FROM [Clientes Cancelados]"/>
  </connection>
  <connection id="3" xr16:uid="{24385859-F5FB-4CE3-AC86-D32D8AC8DDC0}" keepAlive="1" name="Consulta - Clientes novos por mes" description="Conexão com a consulta 'Clientes novos por mes' na pasta de trabalho." type="5" refreshedVersion="8" background="1" saveData="1">
    <dbPr connection="Provider=Microsoft.Mashup.OleDb.1;Data Source=$Workbook$;Location=&quot;Clientes novos por mes&quot;;Extended Properties=&quot;&quot;" command="SELECT * FROM [Clientes novos por mes]"/>
  </connection>
  <connection id="4" xr16:uid="{66B56C37-08CC-4C64-9D60-3D6734395D92}" keepAlive="1" name="Consulta - Dias Medio" description="Conexão com a consulta 'Dias Medio' na pasta de trabalho." type="5" refreshedVersion="8" background="1" saveData="1">
    <dbPr connection="Provider=Microsoft.Mashup.OleDb.1;Data Source=$Workbook$;Location=&quot;Dias Medio&quot;;Extended Properties=&quot;&quot;" command="SELECT * FROM [Dias Medio]"/>
  </connection>
  <connection id="5" xr16:uid="{D7B0574B-90E4-461B-92A3-4BE261F787A3}" keepAlive="1" name="Consulta - Planos" description="Conexão com a consulta 'Planos' na pasta de trabalho." type="5" refreshedVersion="8" background="1" saveData="1">
    <dbPr connection="Provider=Microsoft.Mashup.OleDb.1;Data Source=$Workbook$;Location=Planos;Extended Properties=&quot;&quot;" command="SELECT * FROM [Planos]"/>
  </connection>
  <connection id="6" xr16:uid="{50CDF540-0980-4A3C-9F63-C1FE79896FFB}" keepAlive="1" name="Consulta - Porcentagem Cancelamento" description="Conexão com a consulta 'Porcentagem Cancelamento' na pasta de trabalho." type="5" refreshedVersion="8" background="1" saveData="1">
    <dbPr connection="Provider=Microsoft.Mashup.OleDb.1;Data Source=$Workbook$;Location=&quot;Porcentagem Cancelamento&quot;;Extended Properties=&quot;&quot;" command="SELECT * FROM [Porcentagem Cancelamento]"/>
  </connection>
  <connection id="7" xr16:uid="{7A47E12D-0264-4D97-A924-3ABBE847EF14}" keepAlive="1" name="Consulta - Receita por plano" description="Conexão com a consulta 'Receita por plano' na pasta de trabalho." type="5" refreshedVersion="8" background="1" saveData="1">
    <dbPr connection="Provider=Microsoft.Mashup.OleDb.1;Data Source=$Workbook$;Location=&quot;Receita por plano&quot;;Extended Properties=&quot;&quot;" command="SELECT * FROM [Receita por plano]"/>
  </connection>
  <connection id="8" xr16:uid="{E8492F40-AC51-4E00-810C-315DAAB6EE8A}" keepAlive="1" name="Consulta - Ticket Médio" description="Conexão com a consulta 'Ticket Médio' na pasta de trabalho." type="5" refreshedVersion="8" background="1" saveData="1">
    <dbPr connection="Provider=Microsoft.Mashup.OleDb.1;Data Source=$Workbook$;Location=&quot;Ticket Médio&quot;;Extended Properties=&quot;&quot;" command="SELECT * FROM [Ticket Médio]"/>
  </connection>
</connections>
</file>

<file path=xl/sharedStrings.xml><?xml version="1.0" encoding="utf-8"?>
<sst xmlns="http://schemas.openxmlformats.org/spreadsheetml/2006/main" count="511" uniqueCount="166">
  <si>
    <t>id_cliente</t>
  </si>
  <si>
    <t>nome</t>
  </si>
  <si>
    <t>plano</t>
  </si>
  <si>
    <t>valor_mensal</t>
  </si>
  <si>
    <t>data_inicio</t>
  </si>
  <si>
    <t>data_cancelamento</t>
  </si>
  <si>
    <t>status</t>
  </si>
  <si>
    <t>Ana Souza</t>
  </si>
  <si>
    <t>Basico</t>
  </si>
  <si>
    <t>NULL</t>
  </si>
  <si>
    <t>Ativo</t>
  </si>
  <si>
    <t>Carlos Lima</t>
  </si>
  <si>
    <t>Premium</t>
  </si>
  <si>
    <t>Joao Pedro</t>
  </si>
  <si>
    <t>Padrao</t>
  </si>
  <si>
    <t>Cancelado</t>
  </si>
  <si>
    <t>Mariana Alves</t>
  </si>
  <si>
    <t>Fernanda Costa</t>
  </si>
  <si>
    <t>Lucas Martins</t>
  </si>
  <si>
    <t>Beatriz Rocha</t>
  </si>
  <si>
    <t>Gabriel Dias</t>
  </si>
  <si>
    <t>Juliana Melo</t>
  </si>
  <si>
    <t>Rafael Santos</t>
  </si>
  <si>
    <t>Patricia Gomes</t>
  </si>
  <si>
    <t>Eduardo Silva</t>
  </si>
  <si>
    <t>Camila Ferreira</t>
  </si>
  <si>
    <t>Bruno Ribeiro</t>
  </si>
  <si>
    <t>Aline Barbosa</t>
  </si>
  <si>
    <t>Diego Carvalho</t>
  </si>
  <si>
    <t>Larissa Teixeira</t>
  </si>
  <si>
    <t>Felipe Cardoso</t>
  </si>
  <si>
    <t>Vanessa Freitas</t>
  </si>
  <si>
    <t>Ricardo Nunes</t>
  </si>
  <si>
    <t>Paula Monteiro</t>
  </si>
  <si>
    <t>Andre Lopes</t>
  </si>
  <si>
    <t>Simone Duarte</t>
  </si>
  <si>
    <t>Thiago Pires</t>
  </si>
  <si>
    <t>Roberta Castro</t>
  </si>
  <si>
    <t>Marcelo Azevedo</t>
  </si>
  <si>
    <t>Tatiane Farias</t>
  </si>
  <si>
    <t>Leonardo Moreira</t>
  </si>
  <si>
    <t>Cristina Mendes</t>
  </si>
  <si>
    <t>Rodrigo Batista</t>
  </si>
  <si>
    <t>Daniela Rocha</t>
  </si>
  <si>
    <t>Gustavo Pinto</t>
  </si>
  <si>
    <t>Sandra Cunha</t>
  </si>
  <si>
    <t>Vitor Hugo</t>
  </si>
  <si>
    <t>Elaine Rezende</t>
  </si>
  <si>
    <t>Fabio Antunes</t>
  </si>
  <si>
    <t>Julio Cesar</t>
  </si>
  <si>
    <t>Renata Alves</t>
  </si>
  <si>
    <t>Bruna Queiroz</t>
  </si>
  <si>
    <t>Caio Tavares</t>
  </si>
  <si>
    <t>Igor Fernandes</t>
  </si>
  <si>
    <t>Debora Matos</t>
  </si>
  <si>
    <t>Murilo Prado</t>
  </si>
  <si>
    <t>Sabrina Torres</t>
  </si>
  <si>
    <t>Vinicius Leal</t>
  </si>
  <si>
    <t>Claudio Neves</t>
  </si>
  <si>
    <t>Carla Peixoto</t>
  </si>
  <si>
    <t>Pedro Henrique</t>
  </si>
  <si>
    <t>Luciana Moraes</t>
  </si>
  <si>
    <t>Alexandre Freire</t>
  </si>
  <si>
    <t>Monica Vieira</t>
  </si>
  <si>
    <t>Otavio Barros</t>
  </si>
  <si>
    <t>Cintia Ramos</t>
  </si>
  <si>
    <t>Henrique Coelho</t>
  </si>
  <si>
    <t>Yasmin Duarte</t>
  </si>
  <si>
    <t>Adriano Melo</t>
  </si>
  <si>
    <t>Karina Nogueira</t>
  </si>
  <si>
    <t>Ruan Carvalho</t>
  </si>
  <si>
    <t>Jessica Campos</t>
  </si>
  <si>
    <t>Marcos Vinicius</t>
  </si>
  <si>
    <t>Helena Duarte</t>
  </si>
  <si>
    <t>Rafaela Araujo</t>
  </si>
  <si>
    <t>Paulo Cesar</t>
  </si>
  <si>
    <t>Danilo Farias</t>
  </si>
  <si>
    <t>Tatiana Rocha</t>
  </si>
  <si>
    <t>Leonardo Pacheco</t>
  </si>
  <si>
    <t>Aline Freitas</t>
  </si>
  <si>
    <t>Victor Matheus</t>
  </si>
  <si>
    <t>Amanda Sales</t>
  </si>
  <si>
    <t>Douglas Reis</t>
  </si>
  <si>
    <t>Bianca Lemos</t>
  </si>
  <si>
    <t>Rogerio Dias</t>
  </si>
  <si>
    <t>Mateus Teixeira</t>
  </si>
  <si>
    <t>Caroline Pinto</t>
  </si>
  <si>
    <t>Igor Lopes</t>
  </si>
  <si>
    <t>Vanessa Cruz</t>
  </si>
  <si>
    <t>Felipe Souza</t>
  </si>
  <si>
    <t>Priscila Alves</t>
  </si>
  <si>
    <t>Bruno Castro</t>
  </si>
  <si>
    <t>Larissa Mendes</t>
  </si>
  <si>
    <t>Ricardo Teixeira</t>
  </si>
  <si>
    <t>Fernanda Lopes</t>
  </si>
  <si>
    <t>Eduardo Duarte</t>
  </si>
  <si>
    <t>Camila Rocha</t>
  </si>
  <si>
    <t>Thiago Alves</t>
  </si>
  <si>
    <t>Rafael Ribeiro</t>
  </si>
  <si>
    <t>Juliana Freitas</t>
  </si>
  <si>
    <t>Andre Mendes</t>
  </si>
  <si>
    <t>Beatriz Castro</t>
  </si>
  <si>
    <t>Lucas Araujo</t>
  </si>
  <si>
    <t>Daniel Souza</t>
  </si>
  <si>
    <t>Marina Duarte</t>
  </si>
  <si>
    <t>Guilherme Lopes</t>
  </si>
  <si>
    <t>Renan Batista</t>
  </si>
  <si>
    <t>Patricia Mendes</t>
  </si>
  <si>
    <t>Claudia Ribeiro</t>
  </si>
  <si>
    <t>Victor Hugo</t>
  </si>
  <si>
    <t>Carolina Freitas</t>
  </si>
  <si>
    <t>Bruno Duarte</t>
  </si>
  <si>
    <t>Lucas Mendes</t>
  </si>
  <si>
    <t>count</t>
  </si>
  <si>
    <t>ticket_medio</t>
  </si>
  <si>
    <t>total</t>
  </si>
  <si>
    <t>Básico</t>
  </si>
  <si>
    <t>Padrão</t>
  </si>
  <si>
    <t>dias_medio</t>
  </si>
  <si>
    <t>churn</t>
  </si>
  <si>
    <t>mes</t>
  </si>
  <si>
    <t>novos_clientes</t>
  </si>
  <si>
    <t>receita</t>
  </si>
  <si>
    <t>Rótulos de Linha</t>
  </si>
  <si>
    <t>Total Geral</t>
  </si>
  <si>
    <t>Soma de valor_mensal</t>
  </si>
  <si>
    <t>Contagem de id_cliente</t>
  </si>
  <si>
    <t>Soma de novos_clientes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</si>
  <si>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</si>
  <si>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</si>
  <si>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</si>
  <si>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</si>
  <si>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</si>
  <si>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</si>
  <si>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</si>
  <si>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</si>
  <si>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</si>
  <si>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</si>
  <si>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</si>
  <si>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</si>
  <si>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</si>
  <si>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</si>
  <si>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</si>
  <si>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</si>
  <si>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</si>
  <si>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</si>
  <si>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</si>
  <si>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</si>
  <si>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mês_cancelamento</t>
  </si>
  <si>
    <t>DASHBOARD</t>
  </si>
  <si>
    <t>ÁNALISE DE</t>
  </si>
  <si>
    <t>ASSINATURAS</t>
  </si>
  <si>
    <t>FILTROS ---------</t>
  </si>
  <si>
    <t>RECEITA TOTAL ATIVA</t>
  </si>
  <si>
    <t>RECEITA TOTAL HISTÓRICA</t>
  </si>
  <si>
    <t>CLIENTES ATIVOS</t>
  </si>
  <si>
    <t>CLIENTES CANCELADOS</t>
  </si>
  <si>
    <t>TICKET MÉDIO</t>
  </si>
  <si>
    <t>DIAS MÉDIOS ATÉ CANCELAMENTO</t>
  </si>
  <si>
    <t>INSIGHTS</t>
  </si>
  <si>
    <t>RECEITA CONCENTRADA NO PLANO PREMIUM</t>
  </si>
  <si>
    <t>MAIORIA DOS CLIENTES AINDA ESTÁ ATIVA</t>
  </si>
  <si>
    <t>CRESCIMENTO MAIS FORTE NOS PRIMEIROS MESES</t>
  </si>
  <si>
    <t>CHURN DE 14% IMPACTA A RECEITA</t>
  </si>
  <si>
    <t>R$ 549,60 PERDIDOS POR CANCELAMENTO</t>
  </si>
  <si>
    <t>QUEDA RECENTE NA RECEITA INDICA POSSIVEL REDUÇÃO DE NOVOS 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</si>
</sst>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[$R$-416]\ * #,##0.00_-;\-[$R$-416]\ * #,##0.00_-;_-[$R$-416]\ * &quot;-&quot;??_-;_-@_-"/>
    <numFmt numFmtId="165" formatCode="_-[$R$-416]\ * #,##0_-;\-[$R$-416]\ * #,##0_-;_-[$R$-416]\ * &quot;-&quot;??_-;_-@_-"/>
    <numFmt numFmtId="166" formatCode="_-* #,##0_-;\-* #,##0_-;_-* &quot;-&quot;??_-;_-@_-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 tint="0.249977111117893"/>
      <name val="Aptos Narrow"/>
      <family val="2"/>
      <scheme val="minor"/>
    </font>
    <font>
      <sz val="18"/>
      <color theme="1" tint="0.249977111117893"/>
      <name val="Aptos Narrow"/>
      <family val="2"/>
      <scheme val="minor"/>
    </font>
    <font>
      <sz val="14"/>
      <color theme="1" tint="0.249977111117893"/>
      <name val="Aptos Narrow"/>
      <family val="2"/>
      <scheme val="minor"/>
    </font>
    <font>
      <sz val="11"/>
      <color theme="1" tint="0.249977111117893"/>
      <name val="Aptos Narrow"/>
      <family val="2"/>
      <scheme val="minor"/>
    </font>
    <font>
      <b/>
      <u val="singleAccounting"/>
      <sz val="16"/>
      <color theme="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9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9" tint="0.39997558519241921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14" fontId="0" fillId="0" borderId="0" xfId="0" applyNumberFormat="1"/>
    <xf numFmtId="0" fontId="0" fillId="0" borderId="0" xfId="0" applyNumberFormat="1"/>
    <xf numFmtId="22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9" fontId="0" fillId="0" borderId="0" xfId="2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6" fontId="0" fillId="0" borderId="0" xfId="0" applyNumberFormat="1"/>
    <xf numFmtId="164" fontId="18" fillId="33" borderId="10" xfId="0" applyNumberFormat="1" applyFont="1" applyFill="1" applyBorder="1"/>
    <xf numFmtId="0" fontId="0" fillId="34" borderId="0" xfId="0" applyFill="1" applyAlignment="1">
      <alignment horizontal="center"/>
    </xf>
    <xf numFmtId="0" fontId="0" fillId="34" borderId="0" xfId="0" applyFill="1"/>
    <xf numFmtId="0" fontId="17" fillId="34" borderId="0" xfId="0" applyFont="1" applyFill="1" applyAlignment="1">
      <alignment horizontal="center"/>
    </xf>
    <xf numFmtId="0" fontId="19" fillId="34" borderId="0" xfId="0" applyFont="1" applyFill="1" applyAlignment="1">
      <alignment horizontal="center"/>
    </xf>
    <xf numFmtId="164" fontId="23" fillId="33" borderId="10" xfId="0" applyNumberFormat="1" applyFont="1" applyFill="1" applyBorder="1"/>
    <xf numFmtId="1" fontId="0" fillId="0" borderId="0" xfId="0" applyNumberFormat="1"/>
    <xf numFmtId="0" fontId="22" fillId="34" borderId="0" xfId="0" applyFont="1" applyFill="1" applyAlignment="1">
      <alignment horizontal="center"/>
    </xf>
    <xf numFmtId="0" fontId="18" fillId="34" borderId="0" xfId="0" applyFont="1" applyFill="1" applyAlignment="1">
      <alignment horizontal="center"/>
    </xf>
    <xf numFmtId="0" fontId="20" fillId="34" borderId="0" xfId="0" applyFont="1" applyFill="1" applyAlignment="1">
      <alignment horizontal="center" wrapText="1"/>
    </xf>
    <xf numFmtId="0" fontId="19" fillId="34" borderId="0" xfId="0" applyFont="1" applyFill="1" applyAlignment="1">
      <alignment horizontal="center"/>
    </xf>
    <xf numFmtId="164" fontId="23" fillId="33" borderId="0" xfId="0" applyNumberFormat="1" applyFont="1" applyFill="1" applyBorder="1"/>
    <xf numFmtId="0" fontId="24" fillId="34" borderId="0" xfId="0" applyFont="1" applyFill="1" applyAlignment="1">
      <alignment horizontal="center"/>
    </xf>
    <xf numFmtId="164" fontId="23" fillId="35" borderId="0" xfId="1" applyNumberFormat="1" applyFont="1" applyFill="1" applyBorder="1"/>
    <xf numFmtId="164" fontId="23" fillId="35" borderId="11" xfId="1" applyNumberFormat="1" applyFont="1" applyFill="1" applyBorder="1"/>
    <xf numFmtId="0" fontId="20" fillId="34" borderId="0" xfId="0" applyFont="1" applyFill="1" applyAlignment="1">
      <alignment horizontal="right"/>
    </xf>
    <xf numFmtId="0" fontId="21" fillId="34" borderId="0" xfId="0" applyFont="1" applyFill="1" applyAlignment="1">
      <alignment horizontal="center"/>
    </xf>
  </cellXfs>
  <cellStyles count="44">
    <cellStyle name="20% - Ênfase1" xfId="21" builtinId="30" customBuiltin="1"/>
    <cellStyle name="20% - Ênfase2" xfId="25" builtinId="34" customBuiltin="1"/>
    <cellStyle name="20% - Ênfase3" xfId="29" builtinId="38" customBuiltin="1"/>
    <cellStyle name="20% - Ênfase4" xfId="33" builtinId="42" customBuiltin="1"/>
    <cellStyle name="20% - Ênfase5" xfId="37" builtinId="46" customBuiltin="1"/>
    <cellStyle name="20% - Ênfase6" xfId="41" builtinId="50" customBuiltin="1"/>
    <cellStyle name="40% - Ênfase1" xfId="22" builtinId="31" customBuiltin="1"/>
    <cellStyle name="40% - Ênfase2" xfId="26" builtinId="35" customBuiltin="1"/>
    <cellStyle name="40% - Ênfase3" xfId="30" builtinId="39" customBuiltin="1"/>
    <cellStyle name="40% - Ênfase4" xfId="34" builtinId="43" customBuiltin="1"/>
    <cellStyle name="40% - Ênfase5" xfId="38" builtinId="47" customBuiltin="1"/>
    <cellStyle name="40% - Ênfase6" xfId="42" builtinId="51" customBuiltin="1"/>
    <cellStyle name="60% - Ênfase1" xfId="23" builtinId="32" customBuiltin="1"/>
    <cellStyle name="60% - Ênfase2" xfId="27" builtinId="36" customBuiltin="1"/>
    <cellStyle name="60% - Ênfase3" xfId="31" builtinId="40" customBuiltin="1"/>
    <cellStyle name="60% - Ênfase4" xfId="35" builtinId="44" customBuiltin="1"/>
    <cellStyle name="60% - Ênfase5" xfId="39" builtinId="48" customBuiltin="1"/>
    <cellStyle name="60% - Ênfase6" xfId="43" builtinId="52" customBuiltin="1"/>
    <cellStyle name="Bom" xfId="8" builtinId="26" customBuiltin="1"/>
    <cellStyle name="Cálculo" xfId="13" builtinId="22" customBuiltin="1"/>
    <cellStyle name="Célula de Verificação" xfId="15" builtinId="23" customBuiltin="1"/>
    <cellStyle name="Célula Vinculada" xfId="14" builtinId="24" customBuiltin="1"/>
    <cellStyle name="Ênfase1" xfId="20" builtinId="29" customBuiltin="1"/>
    <cellStyle name="Ênfase2" xfId="24" builtinId="33" customBuiltin="1"/>
    <cellStyle name="Ênfase3" xfId="28" builtinId="37" customBuiltin="1"/>
    <cellStyle name="Ênfase4" xfId="32" builtinId="41" customBuiltin="1"/>
    <cellStyle name="Ênfase5" xfId="36" builtinId="45" customBuiltin="1"/>
    <cellStyle name="Ênfase6" xfId="40" builtinId="49" customBuiltin="1"/>
    <cellStyle name="Entrada" xfId="11" builtinId="20" customBuiltin="1"/>
    <cellStyle name="Neutro" xfId="10" builtinId="28" customBuiltin="1"/>
    <cellStyle name="Normal" xfId="0" builtinId="0"/>
    <cellStyle name="Nota" xfId="17" builtinId="10" customBuiltin="1"/>
    <cellStyle name="Porcentagem" xfId="2" builtinId="5"/>
    <cellStyle name="Ruim" xfId="9" builtinId="27" customBuiltin="1"/>
    <cellStyle name="Saída" xfId="12" builtinId="21" customBuiltin="1"/>
    <cellStyle name="Texto de Aviso" xfId="16" builtinId="11" customBuiltin="1"/>
    <cellStyle name="Texto Explicativo" xfId="18" builtinId="53" customBuiltin="1"/>
    <cellStyle name="Título" xfId="3" builtinId="15" customBuiltin="1"/>
    <cellStyle name="Título 1" xfId="4" builtinId="16" customBuiltin="1"/>
    <cellStyle name="Título 2" xfId="5" builtinId="17" customBuiltin="1"/>
    <cellStyle name="Título 3" xfId="6" builtinId="18" customBuiltin="1"/>
    <cellStyle name="Título 4" xfId="7" builtinId="19" customBuiltin="1"/>
    <cellStyle name="Total" xfId="19" builtinId="25" customBuiltin="1"/>
    <cellStyle name="Vírgula" xfId="1" builtinId="3"/>
  </cellStyles>
  <dxfs count="53"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27" formatCode="d/mm/yyyy\ h:mm"/>
    </dxf>
    <dxf>
      <numFmt numFmtId="164" formatCode="_-[$R$-416]\ * #,##0.00_-;\-[$R$-416]\ * #,##0.00_-;_-[$R$-416]\ * &quot;-&quot;??_-;_-@_-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" formatCode="0"/>
    </dxf>
    <dxf>
      <numFmt numFmtId="1" formatCode="0"/>
    </dxf>
    <dxf>
      <numFmt numFmtId="0" formatCode="General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0" formatCode="General"/>
    </dxf>
    <dxf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[$R$-416]\ * #,##0.00_-;\-[$R$-416]\ * #,##0.00_-;_-[$R$-416]\ 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5" formatCode="_-[$R$-416]\ * #,##0_-;\-[$R$-416]\ * #,##0_-;_-[$R$-416]\ * &quot;-&quot;??_-;_-@_-"/>
    </dxf>
    <dxf>
      <numFmt numFmtId="165" formatCode="_-[$R$-416]\ * #,##0_-;\-[$R$-416]\ * #,##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[Dados Base da Tabela.xlsx]00_Tabela Dinamica!Tabela dinâmica1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>
                <a:solidFill>
                  <a:schemeClr val="tx1">
                    <a:lumMod val="65000"/>
                    <a:lumOff val="35000"/>
                  </a:schemeClr>
                </a:solidFill>
              </a:rPr>
              <a:t>RECEITA</a:t>
            </a:r>
            <a:r>
              <a:rPr lang="en-US" b="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POR PLANO</a:t>
            </a:r>
          </a:p>
          <a:p>
            <a:pPr>
              <a:defRPr b="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en-US" b="0">
              <a:solidFill>
                <a:schemeClr val="tx1">
                  <a:lumMod val="65000"/>
                  <a:lumOff val="35000"/>
                </a:schemeClr>
              </a:solidFill>
            </a:endParaRPr>
          </a:p>
        </c:rich>
      </c:tx>
      <c:layout>
        <c:manualLayout>
          <c:xMode val="edge"/>
          <c:yMode val="edge"/>
          <c:x val="6.9444444444444447E-4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1.3888888888888788E-2"/>
              <c:y val="-2.77775955088946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156933508311462"/>
                  <c:h val="4.6227034120734901E-2"/>
                </c:manualLayout>
              </c15:layout>
            </c:ext>
          </c:extLst>
        </c:dLbl>
      </c:pivotFmt>
      <c:pivotFmt>
        <c:idx val="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3.3333333333333333E-2"/>
              <c:y val="-2.77777777777778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2222222222222119E-2"/>
              <c:y val="-2.77777777777778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3.3333333333333333E-2"/>
              <c:y val="-2.77777777777778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2222222222222119E-2"/>
              <c:y val="-2.77777777777778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1.3888888888888788E-2"/>
              <c:y val="-2.77775955088946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156933508311462"/>
                  <c:h val="4.6227034120734901E-2"/>
                </c:manualLayout>
              </c15:layout>
            </c:ext>
          </c:extLst>
        </c:dLbl>
      </c:pivotFmt>
      <c:pivotFmt>
        <c:idx val="8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4.1666666666666567E-2"/>
              <c:y val="-5.48963726513198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6.3888888888888884E-2"/>
              <c:y val="-8.65347794706955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4.4444444444444446E-2"/>
              <c:y val="-7.74952346651596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156933508311462"/>
                  <c:h val="4.6227034120734901E-2"/>
                </c:manualLayout>
              </c15:layout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'00_Tabela Dinamica'!$B$3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0-2A8E-4468-8563-2F733FDAF62C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2A8E-4468-8563-2F733FDAF62C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2A8E-4468-8563-2F733FDAF62C}"/>
              </c:ext>
            </c:extLst>
          </c:dPt>
          <c:dLbls>
            <c:dLbl>
              <c:idx val="0"/>
              <c:layout>
                <c:manualLayout>
                  <c:x val="4.1666666666666567E-2"/>
                  <c:y val="-5.48963726513198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A8E-4468-8563-2F733FDAF62C}"/>
                </c:ext>
              </c:extLst>
            </c:dLbl>
            <c:dLbl>
              <c:idx val="1"/>
              <c:layout>
                <c:manualLayout>
                  <c:x val="6.3888888888888884E-2"/>
                  <c:y val="-8.65347794706955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A8E-4468-8563-2F733FDAF62C}"/>
                </c:ext>
              </c:extLst>
            </c:dLbl>
            <c:dLbl>
              <c:idx val="2"/>
              <c:layout>
                <c:manualLayout>
                  <c:x val="4.4444444444444446E-2"/>
                  <c:y val="-7.749523466515964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156933508311462"/>
                      <c:h val="4.622703412073490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2A8E-4468-8563-2F733FDAF6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'00_Tabela Dinamica'!$A$4:$A$7</c:f>
              <c:strCache>
                <c:ptCount val="3"/>
                <c:pt idx="0">
                  <c:v>Basico</c:v>
                </c:pt>
                <c:pt idx="1">
                  <c:v>Padrao</c:v>
                </c:pt>
                <c:pt idx="2">
                  <c:v>Premium</c:v>
                </c:pt>
              </c:strCache>
            </c:strRef>
          </c:cat>
          <c:val>
            <c:numRef>
              <c:f>'00_Tabela Dinamica'!$B$4:$B$7</c:f>
              <c:numCache>
                <c:formatCode>_-[$R$-416]\ * #,##0.00_-;\-[$R$-416]\ * #,##0.00_-;_-[$R$-416]\ * "-"??_-;_-@_-</c:formatCode>
                <c:ptCount val="3"/>
                <c:pt idx="0">
                  <c:v>986.69999999999948</c:v>
                </c:pt>
                <c:pt idx="1">
                  <c:v>1316.7000000000003</c:v>
                </c:pt>
                <c:pt idx="2">
                  <c:v>2036.6000000000013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8E-4468-8563-2F733FDAF6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60986944"/>
        <c:axId val="1260988384"/>
        <c:axId val="0"/>
      </c:bar3DChart>
      <c:catAx>
        <c:axId val="126098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988384"/>
        <c:crosses val="autoZero"/>
        <c:auto val="1"/>
        <c:lblAlgn val="ctr"/>
        <c:lblOffset val="100"/>
        <c:noMultiLvlLbl val="0"/>
      </c:catAx>
      <c:valAx>
        <c:axId val="126098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986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 Base da Tabela.xlsx]00_Tabela Dinamica!Tabela dinâmica2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'00_Tabela Dinamica'!$B$10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C10-46D5-A3AF-76C07D4ECA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C10-46D5-A3AF-76C07D4ECA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'00_Tabela Dinamica'!$A$11:$A$13</c:f>
              <c:strCache>
                <c:ptCount val="2"/>
                <c:pt idx="0">
                  <c:v>Ativo</c:v>
                </c:pt>
                <c:pt idx="1">
                  <c:v>Cancelado</c:v>
                </c:pt>
              </c:strCache>
            </c:strRef>
          </c:cat>
          <c:val>
            <c:numRef>
              <c:f>'00_Tabela Dinamica'!$B$11:$B$13</c:f>
              <c:numCache>
                <c:formatCode>_-* #,##0_-;\-* #,##0_-;_-* "-"??_-;_-@_-</c:formatCode>
                <c:ptCount val="2"/>
                <c:pt idx="0">
                  <c:v>86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10-46D5-A3AF-76C07D4ECAC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 Base da Tabela.xlsx]00_Tabela Dinamica!Tabela dinâmica4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n-US"/>
              <a:t>aquisição de clientes ao longo do tempo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1.5137795275590546E-3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'00_Tabela Dinamica'!$B$16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'00_Tabela Dinamica'!$A$17:$A$28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'00_Tabela Dinamica'!$B$17:$B$28</c:f>
              <c:numCache>
                <c:formatCode>General</c:formatCode>
                <c:ptCount val="11"/>
                <c:pt idx="0">
                  <c:v>5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AF-4A62-9F6F-62B27F79050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51184176"/>
        <c:axId val="1886007792"/>
      </c:lineChart>
      <c:catAx>
        <c:axId val="125118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007792"/>
        <c:crosses val="autoZero"/>
        <c:auto val="1"/>
        <c:lblAlgn val="ctr"/>
        <c:lblOffset val="100"/>
        <c:noMultiLvlLbl val="0"/>
      </c:catAx>
      <c:valAx>
        <c:axId val="18860077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5118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 Base da Tabela.xlsx]00_Tabela Dinamica!Tabela dinâmica10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 AO LONGO DO TEMPO</a:t>
            </a:r>
          </a:p>
        </c:rich>
      </c:tx>
      <c:layout>
        <c:manualLayout>
          <c:xMode val="edge"/>
          <c:yMode val="edge"/>
          <c:x val="2.6006780402449713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'00_Tabela Dinamica'!$G$16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'00_Tabela Dinamica'!$F$17:$F$28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'00_Tabela Dinamica'!$G$17:$G$28</c:f>
              <c:numCache>
                <c:formatCode>_-[$R$-416]\ * #,##0.00_-;\-[$R$-416]\ * #,##0.00_-;_-[$R$-416]\ * "-"??_-;_-@_-</c:formatCode>
                <c:ptCount val="11"/>
                <c:pt idx="0">
                  <c:v>219.5</c:v>
                </c:pt>
                <c:pt idx="1">
                  <c:v>428.99999999999989</c:v>
                </c:pt>
                <c:pt idx="2">
                  <c:v>448.99999999999989</c:v>
                </c:pt>
                <c:pt idx="3">
                  <c:v>418.99999999999989</c:v>
                </c:pt>
                <c:pt idx="4">
                  <c:v>428.99999999999989</c:v>
                </c:pt>
                <c:pt idx="5">
                  <c:v>448.99999999999989</c:v>
                </c:pt>
                <c:pt idx="6">
                  <c:v>418.99999999999989</c:v>
                </c:pt>
                <c:pt idx="7">
                  <c:v>428.99999999999989</c:v>
                </c:pt>
                <c:pt idx="8">
                  <c:v>448.99999999999989</c:v>
                </c:pt>
                <c:pt idx="9">
                  <c:v>418.99999999999989</c:v>
                </c:pt>
                <c:pt idx="10">
                  <c:v>229.5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27-4D4A-B566-3ADBEF5DD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4166128"/>
        <c:axId val="1295150144"/>
      </c:lineChart>
      <c:catAx>
        <c:axId val="129416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150144"/>
        <c:crosses val="autoZero"/>
        <c:auto val="1"/>
        <c:lblAlgn val="ctr"/>
        <c:lblOffset val="100"/>
        <c:noMultiLvlLbl val="0"/>
      </c:catAx>
      <c:valAx>
        <c:axId val="129515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16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1</xdr:row>
      <xdr:rowOff>9526</xdr:rowOff>
    </xdr:from>
    <xdr:to>
      <xdr:col>0</xdr:col>
      <xdr:colOff>571500</xdr:colOff>
      <xdr:row>3</xdr:row>
      <xdr:rowOff>38100</xdr:rowOff>
    </xdr:to>
    <xdr:pic>
      <xdr:nvPicPr>
        <xdr:cNvPr id="3" name="Gráfico 2" descr="Livro fechado com preenchimento sólido">
          <a:extLst>
            <a:ext uri="{FF2B5EF4-FFF2-40B4-BE49-F238E27FC236}">
              <a16:creationId xmlns:a16="http://schemas.microsoft.com/office/drawing/2014/main" id="{222D246E-3D12-67A8-8A74-D88C2EB33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7626" y="200026"/>
          <a:ext cx="523874" cy="523874"/>
        </a:xfrm>
        <a:prstGeom prst="rect">
          <a:avLst/>
        </a:prstGeom>
      </xdr:spPr>
    </xdr:pic>
    <xdr:clientData/>
  </xdr:twoCellAnchor>
  <xdr:twoCellAnchor editAs="oneCell">
    <xdr:from>
      <xdr:col>0</xdr:col>
      <xdr:colOff>323849</xdr:colOff>
      <xdr:row>8</xdr:row>
      <xdr:rowOff>19050</xdr:rowOff>
    </xdr:from>
    <xdr:to>
      <xdr:col>2</xdr:col>
      <xdr:colOff>257175</xdr:colOff>
      <xdr:row>15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lano">
              <a:extLst>
                <a:ext uri="{FF2B5EF4-FFF2-40B4-BE49-F238E27FC236}">
                  <a16:creationId xmlns:a16="http://schemas.microsoft.com/office/drawing/2014/main" id="{67130595-5442-42E2-A9D9-86297A1AD4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3849" y="1885950"/>
              <a:ext cx="1847851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Z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342900</xdr:colOff>
      <xdr:row>16</xdr:row>
      <xdr:rowOff>38100</xdr:rowOff>
    </xdr:from>
    <xdr:to>
      <xdr:col>2</xdr:col>
      <xdr:colOff>247651</xdr:colOff>
      <xdr:row>22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tatus">
              <a:extLst>
                <a:ext uri="{FF2B5EF4-FFF2-40B4-BE49-F238E27FC236}">
                  <a16:creationId xmlns:a16="http://schemas.microsoft.com/office/drawing/2014/main" id="{CC6495E1-C774-417C-948A-817DB7AAF0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2900" y="3429000"/>
              <a:ext cx="1819276" cy="1181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Z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3</xdr:col>
      <xdr:colOff>114300</xdr:colOff>
      <xdr:row>0</xdr:row>
      <xdr:rowOff>76200</xdr:rowOff>
    </xdr:from>
    <xdr:to>
      <xdr:col>10</xdr:col>
      <xdr:colOff>419100</xdr:colOff>
      <xdr:row>13</xdr:row>
      <xdr:rowOff>66676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BA140FA-C47E-4657-AEA3-888B3B9FCF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485775</xdr:colOff>
      <xdr:row>0</xdr:row>
      <xdr:rowOff>66675</xdr:rowOff>
    </xdr:from>
    <xdr:to>
      <xdr:col>17</xdr:col>
      <xdr:colOff>371475</xdr:colOff>
      <xdr:row>13</xdr:row>
      <xdr:rowOff>47625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5FB0EF2-72A0-40CA-99C8-AFF53FE898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123825</xdr:colOff>
      <xdr:row>13</xdr:row>
      <xdr:rowOff>152400</xdr:rowOff>
    </xdr:from>
    <xdr:to>
      <xdr:col>10</xdr:col>
      <xdr:colOff>428625</xdr:colOff>
      <xdr:row>28</xdr:row>
      <xdr:rowOff>38100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1305DD8-576D-45E6-BF54-4CABD4A9C1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485775</xdr:colOff>
      <xdr:row>13</xdr:row>
      <xdr:rowOff>123825</xdr:rowOff>
    </xdr:from>
    <xdr:to>
      <xdr:col>17</xdr:col>
      <xdr:colOff>390525</xdr:colOff>
      <xdr:row>28</xdr:row>
      <xdr:rowOff>28575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BAACD91-197F-4CAE-AC88-9C7B9A9D50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361949</xdr:colOff>
      <xdr:row>23</xdr:row>
      <xdr:rowOff>0</xdr:rowOff>
    </xdr:from>
    <xdr:to>
      <xdr:col>2</xdr:col>
      <xdr:colOff>285750</xdr:colOff>
      <xdr:row>31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Meses (data_inicio)">
              <a:extLst>
                <a:ext uri="{FF2B5EF4-FFF2-40B4-BE49-F238E27FC236}">
                  <a16:creationId xmlns:a16="http://schemas.microsoft.com/office/drawing/2014/main" id="{D2AA54C0-6D2D-4AC9-9A10-E2816FF8B4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data_inicio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1949" y="4724400"/>
              <a:ext cx="1838326" cy="1619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Z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Reus" refreshedDate="46141.46291678241" createdVersion="8" refreshedVersion="8" minRefreshableVersion="3" recordCount="11" xr:uid="{EA2D2FA5-36D4-45D0-9379-49A54B511909}">
  <cacheSource type="worksheet">
    <worksheetSource name="Clientes_novos_por_mes"/>
  </cacheSource>
  <cacheFields count="4">
    <cacheField name="mes" numFmtId="22">
      <sharedItems containsSemiMixedTypes="0" containsNonDate="0" containsDate="1" containsString="0" minDate="2023-01-01T00:00:00" maxDate="2023-11-02T00:00:00" count="11"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</sharedItems>
      <fieldGroup par="3"/>
    </cacheField>
    <cacheField name="novos_clientes" numFmtId="0">
      <sharedItems containsSemiMixedTypes="0" containsString="0" containsNumber="1" containsInteger="1" minValue="5" maxValue="10"/>
    </cacheField>
    <cacheField name="Dias (mes)" numFmtId="0" databaseField="0">
      <fieldGroup base="0">
        <rangePr groupBy="days" startDate="2023-01-01T00:00:00" endDate="2023-11-02T00:00:00"/>
        <groupItems count="368">
          <s v="&lt;1/01/20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t"/>
          <s v="2-Sept"/>
          <s v="3-Sept"/>
          <s v="4-Sept"/>
          <s v="5-Sept"/>
          <s v="6-Sept"/>
          <s v="7-Sept"/>
          <s v="8-Sept"/>
          <s v="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/11/2023"/>
        </groupItems>
      </fieldGroup>
    </cacheField>
    <cacheField name="Meses (mes)" numFmtId="0" databaseField="0">
      <fieldGroup base="0">
        <rangePr groupBy="months" startDate="2023-01-01T00:00:00" endDate="2023-11-02T00:00:00"/>
        <groupItems count="14">
          <s v="&lt;1/01/202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/11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Reus" refreshedDate="46141.462917245372" createdVersion="8" refreshedVersion="8" minRefreshableVersion="3" recordCount="100" xr:uid="{94795C0C-F137-425E-8481-4CD7B4B0FB85}">
  <cacheSource type="worksheet">
    <worksheetSource name="Tabela9"/>
  </cacheSource>
  <cacheFields count="10">
    <cacheField name="id_cliente" numFmtId="0">
      <sharedItems containsSemiMixedTypes="0" containsString="0" containsNumber="1" containsInteger="1" minValue="1" maxValue="100"/>
    </cacheField>
    <cacheField name="nome" numFmtId="0">
      <sharedItems/>
    </cacheField>
    <cacheField name="plano" numFmtId="0">
      <sharedItems count="3">
        <s v="Basico"/>
        <s v="Premium"/>
        <s v="Padrao"/>
      </sharedItems>
    </cacheField>
    <cacheField name="valor_mensal" numFmtId="164">
      <sharedItems containsSemiMixedTypes="0" containsString="0" containsNumber="1" minValue="29.9" maxValue="59.9"/>
    </cacheField>
    <cacheField name="data_inicio" numFmtId="14">
      <sharedItems containsSemiMixedTypes="0" containsNonDate="0" containsDate="1" containsString="0" minDate="2023-01-05T00:00:00" maxDate="2023-11-11T00:00:00" count="100">
        <d v="2023-01-05T00:00:00"/>
        <d v="2023-01-10T00:00:00"/>
        <d v="2023-01-12T00:00:00"/>
        <d v="2023-01-15T00:00:00"/>
        <d v="2023-01-20T00:00:00"/>
        <d v="2023-02-01T00:00:00"/>
        <d v="2023-02-03T00:00:00"/>
        <d v="2023-02-05T00:00:00"/>
        <d v="2023-02-07T00:00:00"/>
        <d v="2023-02-10T00:00:00"/>
        <d v="2023-02-12T00:00:00"/>
        <d v="2023-02-15T00:00:00"/>
        <d v="2023-02-18T00:00:00"/>
        <d v="2023-02-20T00:00:00"/>
        <d v="2023-02-22T00:00:00"/>
        <d v="2023-03-01T00:00:00"/>
        <d v="2023-03-03T00:00:00"/>
        <d v="2023-03-05T00:00:00"/>
        <d v="2023-03-07T00:00:00"/>
        <d v="2023-03-10T00:00:00"/>
        <d v="2023-03-12T00:00:00"/>
        <d v="2023-03-15T00:00:00"/>
        <d v="2023-03-18T00:00:00"/>
        <d v="2023-03-20T00:00:00"/>
        <d v="2023-03-22T00:00:00"/>
        <d v="2023-04-01T00:00:00"/>
        <d v="2023-04-03T00:00:00"/>
        <d v="2023-04-05T00:00:00"/>
        <d v="2023-04-07T00:00:00"/>
        <d v="2023-04-10T00:00:00"/>
        <d v="2023-04-12T00:00:00"/>
        <d v="2023-04-15T00:00:00"/>
        <d v="2023-04-18T00:00:00"/>
        <d v="2023-04-20T00:00:00"/>
        <d v="2023-04-22T00:00:00"/>
        <d v="2023-05-01T00:00:00"/>
        <d v="2023-05-03T00:00:00"/>
        <d v="2023-05-05T00:00:00"/>
        <d v="2023-05-07T00:00:00"/>
        <d v="2023-05-10T00:00:00"/>
        <d v="2023-05-12T00:00:00"/>
        <d v="2023-05-15T00:00:00"/>
        <d v="2023-05-18T00:00:00"/>
        <d v="2023-05-20T00:00:00"/>
        <d v="2023-05-22T00:00:00"/>
        <d v="2023-06-01T00:00:00"/>
        <d v="2023-06-03T00:00:00"/>
        <d v="2023-06-05T00:00:00"/>
        <d v="2023-06-07T00:00:00"/>
        <d v="2023-06-10T00:00:00"/>
        <d v="2023-06-12T00:00:00"/>
        <d v="2023-06-15T00:00:00"/>
        <d v="2023-06-18T00:00:00"/>
        <d v="2023-06-20T00:00:00"/>
        <d v="2023-06-22T00:00:00"/>
        <d v="2023-07-01T00:00:00"/>
        <d v="2023-07-03T00:00:00"/>
        <d v="2023-07-05T00:00:00"/>
        <d v="2023-07-07T00:00:00"/>
        <d v="2023-07-10T00:00:00"/>
        <d v="2023-07-12T00:00:00"/>
        <d v="2023-07-15T00:00:00"/>
        <d v="2023-07-18T00:00:00"/>
        <d v="2023-07-20T00:00:00"/>
        <d v="2023-07-22T00:00:00"/>
        <d v="2023-08-01T00:00:00"/>
        <d v="2023-08-03T00:00:00"/>
        <d v="2023-08-05T00:00:00"/>
        <d v="2023-08-07T00:00:00"/>
        <d v="2023-08-10T00:00:00"/>
        <d v="2023-08-12T00:00:00"/>
        <d v="2023-08-15T00:00:00"/>
        <d v="2023-08-18T00:00:00"/>
        <d v="2023-08-20T00:00:00"/>
        <d v="2023-08-22T00:00:00"/>
        <d v="2023-09-01T00:00:00"/>
        <d v="2023-09-03T00:00:00"/>
        <d v="2023-09-05T00:00:00"/>
        <d v="2023-09-07T00:00:00"/>
        <d v="2023-09-10T00:00:00"/>
        <d v="2023-09-12T00:00:00"/>
        <d v="2023-09-15T00:00:00"/>
        <d v="2023-09-18T00:00:00"/>
        <d v="2023-09-20T00:00:00"/>
        <d v="2023-09-22T00:00:00"/>
        <d v="2023-10-01T00:00:00"/>
        <d v="2023-10-03T00:00:00"/>
        <d v="2023-10-05T00:00:00"/>
        <d v="2023-10-07T00:00:00"/>
        <d v="2023-10-10T00:00:00"/>
        <d v="2023-10-12T00:00:00"/>
        <d v="2023-10-15T00:00:00"/>
        <d v="2023-10-18T00:00:00"/>
        <d v="2023-10-20T00:00:00"/>
        <d v="2023-10-22T00:00:00"/>
        <d v="2023-11-01T00:00:00"/>
        <d v="2023-11-03T00:00:00"/>
        <d v="2023-11-05T00:00:00"/>
        <d v="2023-11-07T00:00:00"/>
        <d v="2023-11-10T00:00:00"/>
      </sharedItems>
      <fieldGroup par="9"/>
    </cacheField>
    <cacheField name="data_cancelamento" numFmtId="0">
      <sharedItems containsDate="1" containsMixedTypes="1" minDate="2023-03-01T00:00:00" maxDate="2023-11-02T00:00:00"/>
    </cacheField>
    <cacheField name="status" numFmtId="0">
      <sharedItems count="2">
        <s v="Ativo"/>
        <s v="Cancelado"/>
      </sharedItems>
    </cacheField>
    <cacheField name="mês_cancelamento" numFmtId="0">
      <sharedItems count="10">
        <s v="NULL"/>
        <s v="2023-04"/>
        <s v="2023-03"/>
        <s v="2023-05"/>
        <s v="2023-06"/>
        <s v="2023-07"/>
        <s v="2023-08"/>
        <s v="2023-09"/>
        <s v="2023-10"/>
        <s v="2023-11"/>
      </sharedItems>
    </cacheField>
    <cacheField name="Dias (data_inicio)" numFmtId="0" databaseField="0">
      <fieldGroup base="4">
        <rangePr groupBy="days" startDate="2023-01-05T00:00:00" endDate="2023-11-11T00:00:00"/>
        <groupItems count="368">
          <s v="&lt;5/01/20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t"/>
          <s v="2-Sept"/>
          <s v="3-Sept"/>
          <s v="4-Sept"/>
          <s v="5-Sept"/>
          <s v="6-Sept"/>
          <s v="7-Sept"/>
          <s v="8-Sept"/>
          <s v="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/11/2023"/>
        </groupItems>
      </fieldGroup>
    </cacheField>
    <cacheField name="Meses (data_inicio)" numFmtId="0" databaseField="0">
      <fieldGroup base="4">
        <rangePr groupBy="months" startDate="2023-01-05T00:00:00" endDate="2023-11-11T00:00:00"/>
        <groupItems count="14">
          <s v="&lt;5/01/202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1/11/2023"/>
        </groupItems>
      </fieldGroup>
    </cacheField>
  </cacheFields>
  <extLst>
    <ext xmlns:x14="http://schemas.microsoft.com/office/spreadsheetml/2009/9/main" uri="{725AE2AE-9491-48be-B2B4-4EB974FC3084}">
      <x14:pivotCacheDefinition pivotCacheId="39242037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n v="5"/>
  </r>
  <r>
    <x v="1"/>
    <n v="10"/>
  </r>
  <r>
    <x v="2"/>
    <n v="10"/>
  </r>
  <r>
    <x v="3"/>
    <n v="10"/>
  </r>
  <r>
    <x v="4"/>
    <n v="10"/>
  </r>
  <r>
    <x v="5"/>
    <n v="10"/>
  </r>
  <r>
    <x v="6"/>
    <n v="10"/>
  </r>
  <r>
    <x v="7"/>
    <n v="10"/>
  </r>
  <r>
    <x v="8"/>
    <n v="10"/>
  </r>
  <r>
    <x v="9"/>
    <n v="10"/>
  </r>
  <r>
    <x v="10"/>
    <n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s v="Ana Souza"/>
    <x v="0"/>
    <n v="29.9"/>
    <x v="0"/>
    <s v="NULL"/>
    <x v="0"/>
    <x v="0"/>
  </r>
  <r>
    <n v="2"/>
    <s v="Carlos Lima"/>
    <x v="1"/>
    <n v="59.9"/>
    <x v="1"/>
    <s v="NULL"/>
    <x v="0"/>
    <x v="0"/>
  </r>
  <r>
    <n v="3"/>
    <s v="Joao Pedro"/>
    <x v="2"/>
    <n v="39.9"/>
    <x v="2"/>
    <d v="2023-04-10T00:00:00"/>
    <x v="1"/>
    <x v="1"/>
  </r>
  <r>
    <n v="4"/>
    <s v="Mariana Alves"/>
    <x v="1"/>
    <n v="59.9"/>
    <x v="3"/>
    <s v="NULL"/>
    <x v="0"/>
    <x v="0"/>
  </r>
  <r>
    <n v="5"/>
    <s v="Fernanda Costa"/>
    <x v="0"/>
    <n v="29.9"/>
    <x v="4"/>
    <d v="2023-03-01T00:00:00"/>
    <x v="1"/>
    <x v="2"/>
  </r>
  <r>
    <n v="6"/>
    <s v="Lucas Martins"/>
    <x v="2"/>
    <n v="39.9"/>
    <x v="5"/>
    <s v="NULL"/>
    <x v="0"/>
    <x v="0"/>
  </r>
  <r>
    <n v="7"/>
    <s v="Beatriz Rocha"/>
    <x v="1"/>
    <n v="59.9"/>
    <x v="6"/>
    <s v="NULL"/>
    <x v="0"/>
    <x v="0"/>
  </r>
  <r>
    <n v="8"/>
    <s v="Gabriel Dias"/>
    <x v="0"/>
    <n v="29.9"/>
    <x v="7"/>
    <d v="2023-05-10T00:00:00"/>
    <x v="1"/>
    <x v="3"/>
  </r>
  <r>
    <n v="9"/>
    <s v="Juliana Melo"/>
    <x v="2"/>
    <n v="39.9"/>
    <x v="8"/>
    <s v="NULL"/>
    <x v="0"/>
    <x v="0"/>
  </r>
  <r>
    <n v="10"/>
    <s v="Rafael Santos"/>
    <x v="1"/>
    <n v="59.9"/>
    <x v="9"/>
    <s v="NULL"/>
    <x v="0"/>
    <x v="0"/>
  </r>
  <r>
    <n v="11"/>
    <s v="Patricia Gomes"/>
    <x v="0"/>
    <n v="29.9"/>
    <x v="10"/>
    <s v="NULL"/>
    <x v="0"/>
    <x v="0"/>
  </r>
  <r>
    <n v="12"/>
    <s v="Eduardo Silva"/>
    <x v="2"/>
    <n v="39.9"/>
    <x v="11"/>
    <d v="2023-06-01T00:00:00"/>
    <x v="1"/>
    <x v="4"/>
  </r>
  <r>
    <n v="13"/>
    <s v="Camila Ferreira"/>
    <x v="1"/>
    <n v="59.9"/>
    <x v="12"/>
    <s v="NULL"/>
    <x v="0"/>
    <x v="0"/>
  </r>
  <r>
    <n v="14"/>
    <s v="Bruno Ribeiro"/>
    <x v="0"/>
    <n v="29.9"/>
    <x v="13"/>
    <s v="NULL"/>
    <x v="0"/>
    <x v="0"/>
  </r>
  <r>
    <n v="15"/>
    <s v="Aline Barbosa"/>
    <x v="2"/>
    <n v="39.9"/>
    <x v="14"/>
    <d v="2023-04-20T00:00:00"/>
    <x v="1"/>
    <x v="1"/>
  </r>
  <r>
    <n v="16"/>
    <s v="Diego Carvalho"/>
    <x v="1"/>
    <n v="59.9"/>
    <x v="15"/>
    <s v="NULL"/>
    <x v="0"/>
    <x v="0"/>
  </r>
  <r>
    <n v="17"/>
    <s v="Larissa Teixeira"/>
    <x v="0"/>
    <n v="29.9"/>
    <x v="16"/>
    <s v="NULL"/>
    <x v="0"/>
    <x v="0"/>
  </r>
  <r>
    <n v="18"/>
    <s v="Felipe Cardoso"/>
    <x v="2"/>
    <n v="39.9"/>
    <x v="17"/>
    <s v="NULL"/>
    <x v="0"/>
    <x v="0"/>
  </r>
  <r>
    <n v="19"/>
    <s v="Vanessa Freitas"/>
    <x v="1"/>
    <n v="59.9"/>
    <x v="18"/>
    <d v="2023-07-01T00:00:00"/>
    <x v="1"/>
    <x v="5"/>
  </r>
  <r>
    <n v="20"/>
    <s v="Ricardo Nunes"/>
    <x v="0"/>
    <n v="29.9"/>
    <x v="19"/>
    <s v="NULL"/>
    <x v="0"/>
    <x v="0"/>
  </r>
  <r>
    <n v="21"/>
    <s v="Paula Monteiro"/>
    <x v="2"/>
    <n v="39.9"/>
    <x v="20"/>
    <s v="NULL"/>
    <x v="0"/>
    <x v="0"/>
  </r>
  <r>
    <n v="22"/>
    <s v="Andre Lopes"/>
    <x v="1"/>
    <n v="59.9"/>
    <x v="21"/>
    <s v="NULL"/>
    <x v="0"/>
    <x v="0"/>
  </r>
  <r>
    <n v="23"/>
    <s v="Simone Duarte"/>
    <x v="0"/>
    <n v="29.9"/>
    <x v="22"/>
    <d v="2023-06-10T00:00:00"/>
    <x v="1"/>
    <x v="4"/>
  </r>
  <r>
    <n v="24"/>
    <s v="Thiago Pires"/>
    <x v="2"/>
    <n v="39.9"/>
    <x v="23"/>
    <s v="NULL"/>
    <x v="0"/>
    <x v="0"/>
  </r>
  <r>
    <n v="25"/>
    <s v="Roberta Castro"/>
    <x v="1"/>
    <n v="59.9"/>
    <x v="24"/>
    <s v="NULL"/>
    <x v="0"/>
    <x v="0"/>
  </r>
  <r>
    <n v="26"/>
    <s v="Marcelo Azevedo"/>
    <x v="0"/>
    <n v="29.9"/>
    <x v="25"/>
    <s v="NULL"/>
    <x v="0"/>
    <x v="0"/>
  </r>
  <r>
    <n v="27"/>
    <s v="Tatiane Farias"/>
    <x v="2"/>
    <n v="39.9"/>
    <x v="26"/>
    <d v="2023-07-15T00:00:00"/>
    <x v="1"/>
    <x v="5"/>
  </r>
  <r>
    <n v="28"/>
    <s v="Leonardo Moreira"/>
    <x v="1"/>
    <n v="59.9"/>
    <x v="27"/>
    <s v="NULL"/>
    <x v="0"/>
    <x v="0"/>
  </r>
  <r>
    <n v="29"/>
    <s v="Cristina Mendes"/>
    <x v="0"/>
    <n v="29.9"/>
    <x v="28"/>
    <s v="NULL"/>
    <x v="0"/>
    <x v="0"/>
  </r>
  <r>
    <n v="30"/>
    <s v="Rodrigo Batista"/>
    <x v="2"/>
    <n v="39.9"/>
    <x v="29"/>
    <s v="NULL"/>
    <x v="0"/>
    <x v="0"/>
  </r>
  <r>
    <n v="31"/>
    <s v="Daniela Rocha"/>
    <x v="1"/>
    <n v="59.9"/>
    <x v="30"/>
    <s v="NULL"/>
    <x v="0"/>
    <x v="0"/>
  </r>
  <r>
    <n v="32"/>
    <s v="Gustavo Pinto"/>
    <x v="0"/>
    <n v="29.9"/>
    <x v="31"/>
    <d v="2023-08-01T00:00:00"/>
    <x v="1"/>
    <x v="6"/>
  </r>
  <r>
    <n v="33"/>
    <s v="Sandra Cunha"/>
    <x v="2"/>
    <n v="39.9"/>
    <x v="32"/>
    <s v="NULL"/>
    <x v="0"/>
    <x v="0"/>
  </r>
  <r>
    <n v="34"/>
    <s v="Vitor Hugo"/>
    <x v="1"/>
    <n v="59.9"/>
    <x v="33"/>
    <s v="NULL"/>
    <x v="0"/>
    <x v="0"/>
  </r>
  <r>
    <n v="35"/>
    <s v="Elaine Rezende"/>
    <x v="0"/>
    <n v="29.9"/>
    <x v="34"/>
    <s v="NULL"/>
    <x v="0"/>
    <x v="0"/>
  </r>
  <r>
    <n v="36"/>
    <s v="Fabio Antunes"/>
    <x v="2"/>
    <n v="39.9"/>
    <x v="35"/>
    <s v="NULL"/>
    <x v="0"/>
    <x v="0"/>
  </r>
  <r>
    <n v="37"/>
    <s v="Julio Cesar"/>
    <x v="1"/>
    <n v="59.9"/>
    <x v="36"/>
    <s v="NULL"/>
    <x v="0"/>
    <x v="0"/>
  </r>
  <r>
    <n v="38"/>
    <s v="Renata Alves"/>
    <x v="0"/>
    <n v="29.9"/>
    <x v="37"/>
    <d v="2023-08-20T00:00:00"/>
    <x v="1"/>
    <x v="6"/>
  </r>
  <r>
    <n v="39"/>
    <s v="Bruna Queiroz"/>
    <x v="2"/>
    <n v="39.9"/>
    <x v="38"/>
    <s v="NULL"/>
    <x v="0"/>
    <x v="0"/>
  </r>
  <r>
    <n v="40"/>
    <s v="Caio Tavares"/>
    <x v="1"/>
    <n v="59.9"/>
    <x v="39"/>
    <s v="NULL"/>
    <x v="0"/>
    <x v="0"/>
  </r>
  <r>
    <n v="41"/>
    <s v="Igor Fernandes"/>
    <x v="0"/>
    <n v="29.9"/>
    <x v="40"/>
    <s v="NULL"/>
    <x v="0"/>
    <x v="0"/>
  </r>
  <r>
    <n v="42"/>
    <s v="Debora Matos"/>
    <x v="2"/>
    <n v="39.9"/>
    <x v="41"/>
    <s v="NULL"/>
    <x v="0"/>
    <x v="0"/>
  </r>
  <r>
    <n v="43"/>
    <s v="Murilo Prado"/>
    <x v="1"/>
    <n v="59.9"/>
    <x v="42"/>
    <d v="2023-09-01T00:00:00"/>
    <x v="1"/>
    <x v="7"/>
  </r>
  <r>
    <n v="44"/>
    <s v="Sabrina Torres"/>
    <x v="0"/>
    <n v="29.9"/>
    <x v="43"/>
    <s v="NULL"/>
    <x v="0"/>
    <x v="0"/>
  </r>
  <r>
    <n v="45"/>
    <s v="Vinicius Leal"/>
    <x v="2"/>
    <n v="39.9"/>
    <x v="44"/>
    <s v="NULL"/>
    <x v="0"/>
    <x v="0"/>
  </r>
  <r>
    <n v="46"/>
    <s v="Claudio Neves"/>
    <x v="1"/>
    <n v="59.9"/>
    <x v="45"/>
    <s v="NULL"/>
    <x v="0"/>
    <x v="0"/>
  </r>
  <r>
    <n v="47"/>
    <s v="Carla Peixoto"/>
    <x v="0"/>
    <n v="29.9"/>
    <x v="46"/>
    <s v="NULL"/>
    <x v="0"/>
    <x v="0"/>
  </r>
  <r>
    <n v="48"/>
    <s v="Pedro Henrique"/>
    <x v="2"/>
    <n v="39.9"/>
    <x v="47"/>
    <s v="NULL"/>
    <x v="0"/>
    <x v="0"/>
  </r>
  <r>
    <n v="49"/>
    <s v="Luciana Moraes"/>
    <x v="1"/>
    <n v="59.9"/>
    <x v="48"/>
    <d v="2023-10-01T00:00:00"/>
    <x v="1"/>
    <x v="8"/>
  </r>
  <r>
    <n v="50"/>
    <s v="Alexandre Freire"/>
    <x v="0"/>
    <n v="29.9"/>
    <x v="49"/>
    <s v="NULL"/>
    <x v="0"/>
    <x v="0"/>
  </r>
  <r>
    <n v="51"/>
    <s v="Monica Vieira"/>
    <x v="2"/>
    <n v="39.9"/>
    <x v="50"/>
    <s v="NULL"/>
    <x v="0"/>
    <x v="0"/>
  </r>
  <r>
    <n v="52"/>
    <s v="Otavio Barros"/>
    <x v="1"/>
    <n v="59.9"/>
    <x v="51"/>
    <s v="NULL"/>
    <x v="0"/>
    <x v="0"/>
  </r>
  <r>
    <n v="53"/>
    <s v="Cintia Ramos"/>
    <x v="0"/>
    <n v="29.9"/>
    <x v="52"/>
    <d v="2023-09-15T00:00:00"/>
    <x v="1"/>
    <x v="7"/>
  </r>
  <r>
    <n v="54"/>
    <s v="Henrique Coelho"/>
    <x v="2"/>
    <n v="39.9"/>
    <x v="53"/>
    <s v="NULL"/>
    <x v="0"/>
    <x v="0"/>
  </r>
  <r>
    <n v="55"/>
    <s v="Yasmin Duarte"/>
    <x v="1"/>
    <n v="59.9"/>
    <x v="54"/>
    <s v="NULL"/>
    <x v="0"/>
    <x v="0"/>
  </r>
  <r>
    <n v="56"/>
    <s v="Adriano Melo"/>
    <x v="0"/>
    <n v="29.9"/>
    <x v="55"/>
    <s v="NULL"/>
    <x v="0"/>
    <x v="0"/>
  </r>
  <r>
    <n v="57"/>
    <s v="Karina Nogueira"/>
    <x v="2"/>
    <n v="39.9"/>
    <x v="56"/>
    <s v="NULL"/>
    <x v="0"/>
    <x v="0"/>
  </r>
  <r>
    <n v="58"/>
    <s v="Ruan Carvalho"/>
    <x v="1"/>
    <n v="59.9"/>
    <x v="57"/>
    <s v="NULL"/>
    <x v="0"/>
    <x v="0"/>
  </r>
  <r>
    <n v="59"/>
    <s v="Jessica Campos"/>
    <x v="0"/>
    <n v="29.9"/>
    <x v="58"/>
    <s v="NULL"/>
    <x v="0"/>
    <x v="0"/>
  </r>
  <r>
    <n v="60"/>
    <s v="Marcos Vinicius"/>
    <x v="2"/>
    <n v="39.9"/>
    <x v="59"/>
    <s v="NULL"/>
    <x v="0"/>
    <x v="0"/>
  </r>
  <r>
    <n v="61"/>
    <s v="Helena Duarte"/>
    <x v="1"/>
    <n v="59.9"/>
    <x v="60"/>
    <s v="NULL"/>
    <x v="0"/>
    <x v="0"/>
  </r>
  <r>
    <n v="62"/>
    <s v="Rafaela Araujo"/>
    <x v="0"/>
    <n v="29.9"/>
    <x v="61"/>
    <d v="2023-11-01T00:00:00"/>
    <x v="1"/>
    <x v="9"/>
  </r>
  <r>
    <n v="63"/>
    <s v="Paulo Cesar"/>
    <x v="2"/>
    <n v="39.9"/>
    <x v="62"/>
    <s v="NULL"/>
    <x v="0"/>
    <x v="0"/>
  </r>
  <r>
    <n v="64"/>
    <s v="Danilo Farias"/>
    <x v="1"/>
    <n v="59.9"/>
    <x v="63"/>
    <s v="NULL"/>
    <x v="0"/>
    <x v="0"/>
  </r>
  <r>
    <n v="65"/>
    <s v="Tatiana Rocha"/>
    <x v="0"/>
    <n v="29.9"/>
    <x v="64"/>
    <s v="NULL"/>
    <x v="0"/>
    <x v="0"/>
  </r>
  <r>
    <n v="66"/>
    <s v="Leonardo Pacheco"/>
    <x v="2"/>
    <n v="39.9"/>
    <x v="65"/>
    <s v="NULL"/>
    <x v="0"/>
    <x v="0"/>
  </r>
  <r>
    <n v="67"/>
    <s v="Aline Freitas"/>
    <x v="1"/>
    <n v="59.9"/>
    <x v="66"/>
    <s v="NULL"/>
    <x v="0"/>
    <x v="0"/>
  </r>
  <r>
    <n v="68"/>
    <s v="Victor Matheus"/>
    <x v="0"/>
    <n v="29.9"/>
    <x v="67"/>
    <s v="NULL"/>
    <x v="0"/>
    <x v="0"/>
  </r>
  <r>
    <n v="69"/>
    <s v="Amanda Sales"/>
    <x v="2"/>
    <n v="39.9"/>
    <x v="68"/>
    <s v="NULL"/>
    <x v="0"/>
    <x v="0"/>
  </r>
  <r>
    <n v="70"/>
    <s v="Douglas Reis"/>
    <x v="1"/>
    <n v="59.9"/>
    <x v="69"/>
    <s v="NULL"/>
    <x v="0"/>
    <x v="0"/>
  </r>
  <r>
    <n v="71"/>
    <s v="Bianca Lemos"/>
    <x v="0"/>
    <n v="29.9"/>
    <x v="70"/>
    <s v="NULL"/>
    <x v="0"/>
    <x v="0"/>
  </r>
  <r>
    <n v="72"/>
    <s v="Rogerio Dias"/>
    <x v="2"/>
    <n v="39.9"/>
    <x v="71"/>
    <s v="NULL"/>
    <x v="0"/>
    <x v="0"/>
  </r>
  <r>
    <n v="73"/>
    <s v="Mateus Teixeira"/>
    <x v="1"/>
    <n v="59.9"/>
    <x v="72"/>
    <s v="NULL"/>
    <x v="0"/>
    <x v="0"/>
  </r>
  <r>
    <n v="74"/>
    <s v="Caroline Pinto"/>
    <x v="0"/>
    <n v="29.9"/>
    <x v="73"/>
    <s v="NULL"/>
    <x v="0"/>
    <x v="0"/>
  </r>
  <r>
    <n v="75"/>
    <s v="Igor Lopes"/>
    <x v="2"/>
    <n v="39.9"/>
    <x v="74"/>
    <s v="NULL"/>
    <x v="0"/>
    <x v="0"/>
  </r>
  <r>
    <n v="76"/>
    <s v="Vanessa Cruz"/>
    <x v="1"/>
    <n v="59.9"/>
    <x v="75"/>
    <s v="NULL"/>
    <x v="0"/>
    <x v="0"/>
  </r>
  <r>
    <n v="77"/>
    <s v="Felipe Souza"/>
    <x v="0"/>
    <n v="29.9"/>
    <x v="76"/>
    <s v="NULL"/>
    <x v="0"/>
    <x v="0"/>
  </r>
  <r>
    <n v="78"/>
    <s v="Priscila Alves"/>
    <x v="2"/>
    <n v="39.9"/>
    <x v="77"/>
    <s v="NULL"/>
    <x v="0"/>
    <x v="0"/>
  </r>
  <r>
    <n v="79"/>
    <s v="Bruno Castro"/>
    <x v="1"/>
    <n v="59.9"/>
    <x v="78"/>
    <s v="NULL"/>
    <x v="0"/>
    <x v="0"/>
  </r>
  <r>
    <n v="80"/>
    <s v="Larissa Mendes"/>
    <x v="0"/>
    <n v="29.9"/>
    <x v="79"/>
    <s v="NULL"/>
    <x v="0"/>
    <x v="0"/>
  </r>
  <r>
    <n v="81"/>
    <s v="Ricardo Teixeira"/>
    <x v="2"/>
    <n v="39.9"/>
    <x v="80"/>
    <s v="NULL"/>
    <x v="0"/>
    <x v="0"/>
  </r>
  <r>
    <n v="82"/>
    <s v="Fernanda Lopes"/>
    <x v="1"/>
    <n v="59.9"/>
    <x v="81"/>
    <s v="NULL"/>
    <x v="0"/>
    <x v="0"/>
  </r>
  <r>
    <n v="83"/>
    <s v="Eduardo Duarte"/>
    <x v="0"/>
    <n v="29.9"/>
    <x v="82"/>
    <s v="NULL"/>
    <x v="0"/>
    <x v="0"/>
  </r>
  <r>
    <n v="84"/>
    <s v="Camila Rocha"/>
    <x v="2"/>
    <n v="39.9"/>
    <x v="83"/>
    <s v="NULL"/>
    <x v="0"/>
    <x v="0"/>
  </r>
  <r>
    <n v="85"/>
    <s v="Thiago Alves"/>
    <x v="1"/>
    <n v="59.9"/>
    <x v="84"/>
    <s v="NULL"/>
    <x v="0"/>
    <x v="0"/>
  </r>
  <r>
    <n v="86"/>
    <s v="Rafael Ribeiro"/>
    <x v="0"/>
    <n v="29.9"/>
    <x v="85"/>
    <s v="NULL"/>
    <x v="0"/>
    <x v="0"/>
  </r>
  <r>
    <n v="87"/>
    <s v="Juliana Freitas"/>
    <x v="2"/>
    <n v="39.9"/>
    <x v="86"/>
    <s v="NULL"/>
    <x v="0"/>
    <x v="0"/>
  </r>
  <r>
    <n v="88"/>
    <s v="Andre Mendes"/>
    <x v="1"/>
    <n v="59.9"/>
    <x v="87"/>
    <s v="NULL"/>
    <x v="0"/>
    <x v="0"/>
  </r>
  <r>
    <n v="89"/>
    <s v="Beatriz Castro"/>
    <x v="0"/>
    <n v="29.9"/>
    <x v="88"/>
    <s v="NULL"/>
    <x v="0"/>
    <x v="0"/>
  </r>
  <r>
    <n v="90"/>
    <s v="Lucas Araujo"/>
    <x v="2"/>
    <n v="39.9"/>
    <x v="89"/>
    <s v="NULL"/>
    <x v="0"/>
    <x v="0"/>
  </r>
  <r>
    <n v="91"/>
    <s v="Daniel Souza"/>
    <x v="1"/>
    <n v="59.9"/>
    <x v="90"/>
    <s v="NULL"/>
    <x v="0"/>
    <x v="0"/>
  </r>
  <r>
    <n v="92"/>
    <s v="Marina Duarte"/>
    <x v="0"/>
    <n v="29.9"/>
    <x v="91"/>
    <s v="NULL"/>
    <x v="0"/>
    <x v="0"/>
  </r>
  <r>
    <n v="93"/>
    <s v="Guilherme Lopes"/>
    <x v="2"/>
    <n v="39.9"/>
    <x v="92"/>
    <s v="NULL"/>
    <x v="0"/>
    <x v="0"/>
  </r>
  <r>
    <n v="94"/>
    <s v="Renan Batista"/>
    <x v="1"/>
    <n v="59.9"/>
    <x v="93"/>
    <s v="NULL"/>
    <x v="0"/>
    <x v="0"/>
  </r>
  <r>
    <n v="95"/>
    <s v="Patricia Mendes"/>
    <x v="0"/>
    <n v="29.9"/>
    <x v="94"/>
    <s v="NULL"/>
    <x v="0"/>
    <x v="0"/>
  </r>
  <r>
    <n v="96"/>
    <s v="Claudia Ribeiro"/>
    <x v="2"/>
    <n v="39.9"/>
    <x v="95"/>
    <s v="NULL"/>
    <x v="0"/>
    <x v="0"/>
  </r>
  <r>
    <n v="97"/>
    <s v="Victor Hugo"/>
    <x v="1"/>
    <n v="59.9"/>
    <x v="96"/>
    <s v="NULL"/>
    <x v="0"/>
    <x v="0"/>
  </r>
  <r>
    <n v="98"/>
    <s v="Carolina Freitas"/>
    <x v="0"/>
    <n v="29.9"/>
    <x v="97"/>
    <s v="NULL"/>
    <x v="0"/>
    <x v="0"/>
  </r>
  <r>
    <n v="99"/>
    <s v="Bruno Duarte"/>
    <x v="2"/>
    <n v="39.9"/>
    <x v="98"/>
    <s v="NULL"/>
    <x v="0"/>
    <x v="0"/>
  </r>
  <r>
    <n v="100"/>
    <s v="Lucas Mendes"/>
    <x v="1"/>
    <n v="59.9"/>
    <x v="99"/>
    <s v="NULL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7D31AE-274D-479A-9E9F-0173B6536450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10:B13" firstHeaderRow="1" firstDataRow="1" firstDataCol="1"/>
  <pivotFields count="10">
    <pivotField dataField="1" showAll="0"/>
    <pivotField showAll="0"/>
    <pivotField showAll="0"/>
    <pivotField numFmtId="164" showAll="0"/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ntagem de id_cliente" fld="0" subtotal="count" baseField="6" baseItem="0" numFmtId="166"/>
  </dataFields>
  <formats count="2">
    <format dxfId="44">
      <pivotArea outline="0" collapsedLevelsAreSubtotals="1" fieldPosition="0"/>
    </format>
    <format dxfId="43">
      <pivotArea dataOnly="0" labelOnly="1" outline="0" axis="axisValues" fieldPosition="0"/>
    </format>
  </formats>
  <chartFormats count="3"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829A0C-D5C0-4B69-B06B-CF5DD4458FDF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6">
  <location ref="A3:B7" firstHeaderRow="1" firstDataRow="1" firstDataCol="1"/>
  <pivotFields count="10">
    <pivotField showAll="0"/>
    <pivotField showAll="0"/>
    <pivotField axis="axisRow" showAll="0">
      <items count="4">
        <item x="0"/>
        <item x="2"/>
        <item x="1"/>
        <item t="default"/>
      </items>
    </pivotField>
    <pivotField dataField="1" numFmtId="164" showAll="0"/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_mensal" fld="3" baseField="0" baseItem="0" numFmtId="164"/>
  </dataFields>
  <formats count="2">
    <format dxfId="46">
      <pivotArea outline="0" collapsedLevelsAreSubtotals="1" fieldPosition="0"/>
    </format>
    <format dxfId="45">
      <pivotArea dataOnly="0" labelOnly="1" outline="0" axis="axisValues" fieldPosition="0"/>
    </format>
  </formats>
  <chartFormats count="4">
    <chartFormat chart="2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1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1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8BA035-0AE8-441A-AC78-7777D323C3DE}" name="Tabela dinâmica1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2">
  <location ref="J3:K15" firstHeaderRow="1" firstDataRow="1" firstDataCol="1" rowPageCount="1" colPageCount="1"/>
  <pivotFields count="10">
    <pivotField showAll="0"/>
    <pivotField showAll="0"/>
    <pivotField showAll="0">
      <items count="4">
        <item x="0"/>
        <item x="2"/>
        <item x="1"/>
        <item t="default"/>
      </items>
    </pivotField>
    <pivotField dataField="1" numFmtId="164" showAll="0"/>
    <pivotField axis="axisRow"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9"/>
    <field x="8"/>
    <field x="4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6" item="0" hier="-1"/>
  </pageFields>
  <dataFields count="1">
    <dataField name="Soma de valor_mensal" fld="3" baseField="0" baseItem="0" numFmtId="164"/>
  </dataFields>
  <formats count="2">
    <format dxfId="48">
      <pivotArea outline="0" collapsedLevelsAreSubtotals="1" fieldPosition="0"/>
    </format>
    <format dxfId="47">
      <pivotArea dataOnly="0" labelOnly="1" outline="0" axis="axisValues" fieldPosition="0"/>
    </format>
  </formats>
  <chartFormats count="5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C0FEA6-97A2-4C77-8C5C-0A70BBEFDD38}" name="Tabela dinâmica10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2">
  <location ref="F16:G28" firstHeaderRow="1" firstDataRow="1" firstDataCol="1"/>
  <pivotFields count="10">
    <pivotField showAll="0"/>
    <pivotField showAll="0"/>
    <pivotField showAll="0">
      <items count="4">
        <item x="0"/>
        <item x="2"/>
        <item x="1"/>
        <item t="default"/>
      </items>
    </pivotField>
    <pivotField dataField="1" numFmtId="164" showAll="0"/>
    <pivotField axis="axisRow"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9"/>
    <field x="8"/>
    <field x="4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_mensal" fld="3" baseField="0" baseItem="0" numFmtId="164"/>
  </dataFields>
  <formats count="2">
    <format dxfId="50">
      <pivotArea outline="0" collapsedLevelsAreSubtotals="1" fieldPosition="0"/>
    </format>
    <format dxfId="49">
      <pivotArea dataOnly="0" labelOnly="1" outline="0" axis="axisValues" fieldPosition="0"/>
    </format>
  </formats>
  <chartFormats count="4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B3450B-62D3-4F6D-806F-A6CD776ABF1D}" name="Tabela dinâmica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3:G13" firstHeaderRow="1" firstDataRow="1" firstDataCol="1" rowPageCount="1" colPageCount="1"/>
  <pivotFields count="10">
    <pivotField dataField="1" showAll="0"/>
    <pivotField showAll="0"/>
    <pivotField showAll="0">
      <items count="4">
        <item x="0"/>
        <item x="2"/>
        <item x="1"/>
        <item t="default"/>
      </items>
    </pivotField>
    <pivotField numFmtId="164" showAll="0"/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axis="axisRow" showAll="0">
      <items count="11">
        <item x="2"/>
        <item x="1"/>
        <item x="3"/>
        <item x="4"/>
        <item x="5"/>
        <item x="6"/>
        <item x="7"/>
        <item x="8"/>
        <item x="9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6" item="1" hier="-1"/>
  </pageFields>
  <dataFields count="1">
    <dataField name="Contagem de id_cliente" fld="0" subtotal="count" baseField="7" baseItem="0" numFmtId="165"/>
  </dataFields>
  <formats count="2">
    <format dxfId="52">
      <pivotArea outline="0" collapsedLevelsAreSubtotals="1" fieldPosition="0"/>
    </format>
    <format dxfId="5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B8477B-D7A1-4F83-BF7A-2475D9192302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A16:B28" firstHeaderRow="1" firstDataRow="1" firstDataCol="1"/>
  <pivotFields count="4">
    <pivotField axis="axisRow" numFmtId="22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3"/>
    <field x="2"/>
    <field x="0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novos_clientes" fld="1" baseField="0" baseItem="0"/>
  </dataFields>
  <chartFormats count="1"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26AD0D-7B46-4809-AC4E-890CDA9FDA82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3:I15" firstHeaderRow="1" firstDataRow="1" firstDataCol="1"/>
  <pivotFields count="4">
    <pivotField axis="axisRow" numFmtId="22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3"/>
    <field x="2"/>
    <field x="0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novos_clientes" fld="1" baseField="0" baseItem="0"/>
  </dataField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B9577A9-CADE-4948-BE16-B0C11F8B61C2}" autoFormatId="16" applyNumberFormats="0" applyBorderFormats="0" applyFontFormats="0" applyPatternFormats="0" applyAlignmentFormats="0" applyWidthHeightFormats="0">
  <queryTableRefresh nextId="2">
    <queryTableFields count="1">
      <queryTableField id="1" name="count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3CC69144-CA38-4705-8D55-2071AEF940E8}" autoFormatId="16" applyNumberFormats="0" applyBorderFormats="0" applyFontFormats="0" applyPatternFormats="0" applyAlignmentFormats="0" applyWidthHeightFormats="0">
  <queryTableRefresh nextId="2">
    <queryTableFields count="1">
      <queryTableField id="1" name="count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8" xr16:uid="{54530642-D08A-4F16-AE73-D622131885CC}" autoFormatId="16" applyNumberFormats="0" applyBorderFormats="0" applyFontFormats="0" applyPatternFormats="0" applyAlignmentFormats="0" applyWidthHeightFormats="0">
  <queryTableRefresh nextId="2">
    <queryTableFields count="1">
      <queryTableField id="1" name="ticket_medio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1B56D51E-B518-447C-8113-02B1963942DB}" autoFormatId="16" applyNumberFormats="0" applyBorderFormats="0" applyFontFormats="0" applyPatternFormats="0" applyAlignmentFormats="0" applyWidthHeightFormats="0">
  <queryTableRefresh nextId="3">
    <queryTableFields count="2">
      <queryTableField id="1" name="plano" tableColumnId="1"/>
      <queryTableField id="2" name="total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4" xr16:uid="{5A8CC15F-B637-4F26-8A45-81F7188A2A49}" autoFormatId="16" applyNumberFormats="0" applyBorderFormats="0" applyFontFormats="0" applyPatternFormats="0" applyAlignmentFormats="0" applyWidthHeightFormats="0">
  <queryTableRefresh nextId="2">
    <queryTableFields count="1">
      <queryTableField id="1" name="dias_medio" tableColumnId="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6" xr16:uid="{8E833B9F-8B1E-431F-9851-D99D334A4B8A}" autoFormatId="16" applyNumberFormats="0" applyBorderFormats="0" applyFontFormats="0" applyPatternFormats="0" applyAlignmentFormats="0" applyWidthHeightFormats="0">
  <queryTableRefresh nextId="2">
    <queryTableFields count="1">
      <queryTableField id="1" name="churn" tableColumnId="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7" xr16:uid="{C9A746B4-60D5-49E8-9CCB-E34DA659012F}" autoFormatId="16" applyNumberFormats="0" applyBorderFormats="0" applyFontFormats="0" applyPatternFormats="0" applyAlignmentFormats="0" applyWidthHeightFormats="0">
  <queryTableRefresh nextId="3">
    <queryTableFields count="2">
      <queryTableField id="1" name="plano" tableColumnId="1"/>
      <queryTableField id="2" name="receita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3" xr16:uid="{A2963F82-68C8-49DD-B8F8-03FB04584068}" autoFormatId="16" applyNumberFormats="0" applyBorderFormats="0" applyFontFormats="0" applyPatternFormats="0" applyAlignmentFormats="0" applyWidthHeightFormats="0">
  <queryTableRefresh nextId="3">
    <queryTableFields count="2">
      <queryTableField id="1" name="mes" tableColumnId="1"/>
      <queryTableField id="2" name="novos_clientes" tableColumnId="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o" xr10:uid="{3E64A74B-FB40-4B3C-A400-5F983334C043}" sourceName="plano">
  <pivotTables>
    <pivotTable tabId="11" name="Tabela dinâmica1"/>
    <pivotTable tabId="11" name="Tabela dinâmica10"/>
    <pivotTable tabId="11" name="Tabela dinâmica11"/>
  </pivotTables>
  <data>
    <tabular pivotCacheId="392420371">
      <items count="3">
        <i x="0" s="1"/>
        <i x="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" xr10:uid="{3D317FDF-3F0A-4EEE-946E-CC3A24F27C44}" sourceName="status">
  <pivotTables>
    <pivotTable tabId="11" name="Tabela dinâmica2"/>
    <pivotTable tabId="11" name="Tabela dinâmica1"/>
  </pivotTables>
  <data>
    <tabular pivotCacheId="392420371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es__data_inicio" xr10:uid="{FD4F8F64-F4DA-4EBB-A287-5A8704F6E176}" sourceName="Meses (data_inicio)">
  <pivotTables>
    <pivotTable tabId="11" name="Tabela dinâmica11"/>
    <pivotTable tabId="11" name="Tabela dinâmica1"/>
    <pivotTable tabId="11" name="Tabela dinâmica10"/>
  </pivotTables>
  <data>
    <tabular pivotCacheId="392420371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 nd="1"/>
        <i x="0" s="1" nd="1"/>
        <i x="1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o" xr10:uid="{A06EE9A5-1C60-421A-8839-C921A3F8397E}" cache="SegmentaçãodeDados_plano" caption="plano" style="SlicerStyleOther2" rowHeight="257175"/>
  <slicer name="status" xr10:uid="{06D6EA5F-B4E0-4F89-BB4A-7850AB22201A}" cache="SegmentaçãodeDados_status" caption="status" style="SlicerStyleOther2" rowHeight="257175"/>
  <slicer name="Meses (data_inicio)" xr10:uid="{A5293826-7132-4ED0-84C5-7CDE1992A196}" cache="SegmentaçãodeDados_Meses__data_inicio" caption="Meses (data_inicio)" style="SlicerStyleOther2" rowHeight="257175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593AEA4-9911-40FF-BC2A-90B585218CD9}" name="Tabela9" displayName="Tabela9" ref="A1:H101" totalsRowShown="0">
  <autoFilter ref="A1:H101" xr:uid="{5593AEA4-9911-40FF-BC2A-90B585218CD9}"/>
  <tableColumns count="8">
    <tableColumn id="1" xr3:uid="{F83CF674-2B67-4105-95C6-201FEB62EC72}" name="id_cliente"/>
    <tableColumn id="2" xr3:uid="{17695892-02C3-4004-8FF0-C6ADBEE7B641}" name="nome"/>
    <tableColumn id="3" xr3:uid="{83720AC0-84E5-465B-8073-354ABDC7BAB9}" name="plano"/>
    <tableColumn id="4" xr3:uid="{235F7E83-30F1-40E4-ACF1-01C3E8FB1A95}" name="valor_mensal" dataDxfId="42" dataCellStyle="Vírgula"/>
    <tableColumn id="5" xr3:uid="{AA26E388-7D8B-402F-8014-89A2A81B927A}" name="data_inicio" dataDxfId="41"/>
    <tableColumn id="6" xr3:uid="{3F009E92-0E2E-4BEE-BF45-094C9C966A0F}" name="data_cancelamento"/>
    <tableColumn id="7" xr3:uid="{4229A594-5292-4529-8A2E-1E0BBA708D0D}" name="status"/>
    <tableColumn id="8" xr3:uid="{3EF22801-B8B5-44EF-9985-A744323BBA2A}" name="mês_cancelamento" dataDxfId="40">
      <calculatedColumnFormula>TEXT(Tabela9[[#This Row],[data_cancelamento]],"yyyy-mm")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620E23-B07C-4B3D-BEAC-7735DBE5BC5F}" name="Clientes_Ativos" displayName="Clientes_Ativos" ref="A1:A2" tableType="queryTable" totalsRowShown="0">
  <autoFilter ref="A1:A2" xr:uid="{E9620E23-B07C-4B3D-BEAC-7735DBE5BC5F}"/>
  <tableColumns count="1">
    <tableColumn id="1" xr3:uid="{E32263B2-F0B2-4443-A81F-20CAE9BF87C5}" uniqueName="1" name="count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7338B7-35E6-434C-87B7-C5C5AD50A1F7}" name="Clientes_Cancelados" displayName="Clientes_Cancelados" ref="A1:A2" tableType="queryTable" totalsRowShown="0">
  <autoFilter ref="A1:A2" xr:uid="{C87338B7-35E6-434C-87B7-C5C5AD50A1F7}"/>
  <tableColumns count="1">
    <tableColumn id="1" xr3:uid="{34356D10-58B6-4556-9C94-DDD6DC1A051B}" uniqueName="1" name="count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215BCF-7E4D-47FA-A6AA-AC25A87BD097}" name="Ticket_Médio" displayName="Ticket_Médio" ref="A1:A2" tableType="queryTable" totalsRowShown="0" headerRowDxfId="39" dataDxfId="38">
  <autoFilter ref="A1:A2" xr:uid="{F5215BCF-7E4D-47FA-A6AA-AC25A87BD097}"/>
  <tableColumns count="1">
    <tableColumn id="1" xr3:uid="{A36634D8-34C2-4E44-9F0D-9796AB1DAD53}" uniqueName="1" name="ticket_medio" queryTableFieldId="1" dataDxfId="3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9B0AB3-6DD5-490B-9BBA-AA8B2B3FD940}" name="Planos" displayName="Planos" ref="A1:B4" tableType="queryTable" totalsRowShown="0">
  <autoFilter ref="A1:B4" xr:uid="{8F9B0AB3-6DD5-490B-9BBA-AA8B2B3FD940}"/>
  <tableColumns count="2">
    <tableColumn id="1" xr3:uid="{0A2FE632-796F-4DEB-901A-A4BB05D5BA08}" uniqueName="1" name="plano" queryTableFieldId="1" dataDxfId="36"/>
    <tableColumn id="2" xr3:uid="{2FF2F996-0097-454A-8DE6-82CD64C224AC}" uniqueName="2" name="total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CCD45E-266F-467C-A7E3-6340A0E6B1BF}" name="Dias_Medio" displayName="Dias_Medio" ref="A1:A2" tableType="queryTable" totalsRowShown="0" dataDxfId="35">
  <autoFilter ref="A1:A2" xr:uid="{8BCCD45E-266F-467C-A7E3-6340A0E6B1BF}"/>
  <tableColumns count="1">
    <tableColumn id="1" xr3:uid="{827BC218-747F-49F8-B326-71308B19A357}" uniqueName="1" name="dias_medio" queryTableFieldId="1" dataDxfId="3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B42873-C84D-48CC-8720-BB575D855937}" name="Porcentagem_Cancelamento" displayName="Porcentagem_Cancelamento" ref="A1:A2" tableType="queryTable" totalsRowShown="0" headerRowCellStyle="Porcentagem" dataCellStyle="Porcentagem">
  <autoFilter ref="A1:A2" xr:uid="{0EB42873-C84D-48CC-8720-BB575D855937}"/>
  <tableColumns count="1">
    <tableColumn id="1" xr3:uid="{D8FFCCB9-1C7C-465C-BCA2-48C820987F9C}" uniqueName="1" name="churn" queryTableFieldId="1" dataDxfId="33" dataCellStyle="Porcentagem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BCF0A8C-D06C-4B3B-B87C-1625ACBCC203}" name="Receita_por_plano" displayName="Receita_por_plano" ref="A1:B4" tableType="queryTable" totalsRowShown="0">
  <autoFilter ref="A1:B4" xr:uid="{4BCF0A8C-D06C-4B3B-B87C-1625ACBCC203}"/>
  <tableColumns count="2">
    <tableColumn id="1" xr3:uid="{7BD545A2-5AEC-4C20-92C3-BFC1D983AB28}" uniqueName="1" name="plano" queryTableFieldId="1" dataDxfId="32"/>
    <tableColumn id="2" xr3:uid="{318595AC-E813-4957-8B6C-D8DE2ACA1E61}" uniqueName="2" name="receita" queryTableFieldId="2" dataDxfId="31" dataCellStyle="Vírgula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C248BFD-735F-424F-A706-23FDB639B9BD}" name="Clientes_novos_por_mes" displayName="Clientes_novos_por_mes" ref="A1:B12" tableType="queryTable" totalsRowShown="0">
  <autoFilter ref="A1:B12" xr:uid="{9C248BFD-735F-424F-A706-23FDB639B9BD}"/>
  <tableColumns count="2">
    <tableColumn id="1" xr3:uid="{9B22E1A1-94FA-4A57-ADD3-29721BC75C11}" uniqueName="1" name="mes" queryTableFieldId="1" dataDxfId="30"/>
    <tableColumn id="2" xr3:uid="{984615F8-E86C-45F9-9BA9-5C41F3802B22}" uniqueName="2" name="novos_cliente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13CC5-9EE3-4CF5-9E2B-CAC211380857}">
  <dimension ref="A1:K28"/>
  <sheetViews>
    <sheetView showGridLines="0" workbookViewId="0">
      <selection activeCell="K3" sqref="K3"/>
      <pivotSelection pane="bottomRight" showHeader="1" extendable="1" activeRow="2" activeCol="10" previousRow="2" previousCol="10" click="1" r:id="rId3">
        <pivotArea dataOnly="0" outline="0" axis="axisValues" fieldPosition="0"/>
      </pivotSelection>
    </sheetView>
  </sheetViews>
  <sheetFormatPr defaultRowHeight="15" x14ac:dyDescent="0.25"/>
  <cols>
    <col min="1" max="1" width="18.42578125" bestFit="1" customWidth="1"/>
    <col min="2" max="2" width="22.85546875" bestFit="1" customWidth="1"/>
    <col min="6" max="6" width="18.42578125" bestFit="1" customWidth="1"/>
    <col min="7" max="7" width="22.85546875" bestFit="1" customWidth="1"/>
    <col min="10" max="10" width="18.42578125" bestFit="1" customWidth="1"/>
    <col min="11" max="11" width="22.85546875" bestFit="1" customWidth="1"/>
  </cols>
  <sheetData>
    <row r="1" spans="1:11" x14ac:dyDescent="0.25">
      <c r="F1" s="7" t="s">
        <v>6</v>
      </c>
      <c r="G1" t="s">
        <v>15</v>
      </c>
      <c r="J1" s="7" t="s">
        <v>6</v>
      </c>
      <c r="K1" t="s">
        <v>10</v>
      </c>
    </row>
    <row r="3" spans="1:11" x14ac:dyDescent="0.25">
      <c r="A3" s="7" t="s">
        <v>123</v>
      </c>
      <c r="B3" s="5" t="s">
        <v>125</v>
      </c>
      <c r="F3" s="7" t="s">
        <v>123</v>
      </c>
      <c r="G3" s="9" t="s">
        <v>126</v>
      </c>
      <c r="J3" s="7" t="s">
        <v>123</v>
      </c>
      <c r="K3" s="5" t="s">
        <v>125</v>
      </c>
    </row>
    <row r="4" spans="1:11" x14ac:dyDescent="0.25">
      <c r="A4" s="8" t="s">
        <v>8</v>
      </c>
      <c r="B4" s="5">
        <v>986.69999999999948</v>
      </c>
      <c r="F4" s="8" t="s">
        <v>139</v>
      </c>
      <c r="G4" s="9">
        <v>1</v>
      </c>
      <c r="J4" s="8" t="s">
        <v>128</v>
      </c>
      <c r="K4" s="5">
        <v>149.69999999999999</v>
      </c>
    </row>
    <row r="5" spans="1:11" x14ac:dyDescent="0.25">
      <c r="A5" s="8" t="s">
        <v>14</v>
      </c>
      <c r="B5" s="5">
        <v>1316.7000000000003</v>
      </c>
      <c r="F5" s="8" t="s">
        <v>140</v>
      </c>
      <c r="G5" s="9">
        <v>2</v>
      </c>
      <c r="J5" s="8" t="s">
        <v>129</v>
      </c>
      <c r="K5" s="5">
        <v>319.29999999999995</v>
      </c>
    </row>
    <row r="6" spans="1:11" x14ac:dyDescent="0.25">
      <c r="A6" s="8" t="s">
        <v>12</v>
      </c>
      <c r="B6" s="5">
        <v>2036.6000000000013</v>
      </c>
      <c r="F6" s="8" t="s">
        <v>141</v>
      </c>
      <c r="G6" s="9">
        <v>1</v>
      </c>
      <c r="J6" s="8" t="s">
        <v>130</v>
      </c>
      <c r="K6" s="5">
        <v>359.19999999999993</v>
      </c>
    </row>
    <row r="7" spans="1:11" x14ac:dyDescent="0.25">
      <c r="A7" s="8" t="s">
        <v>124</v>
      </c>
      <c r="B7" s="5">
        <v>4340.0000000000009</v>
      </c>
      <c r="F7" s="8" t="s">
        <v>142</v>
      </c>
      <c r="G7" s="9">
        <v>2</v>
      </c>
      <c r="J7" s="8" t="s">
        <v>131</v>
      </c>
      <c r="K7" s="5">
        <v>349.19999999999993</v>
      </c>
    </row>
    <row r="8" spans="1:11" x14ac:dyDescent="0.25">
      <c r="F8" s="8" t="s">
        <v>143</v>
      </c>
      <c r="G8" s="9">
        <v>2</v>
      </c>
      <c r="J8" s="8" t="s">
        <v>132</v>
      </c>
      <c r="K8" s="5">
        <v>339.19999999999993</v>
      </c>
    </row>
    <row r="9" spans="1:11" x14ac:dyDescent="0.25">
      <c r="F9" s="8" t="s">
        <v>144</v>
      </c>
      <c r="G9" s="9">
        <v>2</v>
      </c>
      <c r="J9" s="8" t="s">
        <v>133</v>
      </c>
      <c r="K9" s="5">
        <v>359.19999999999993</v>
      </c>
    </row>
    <row r="10" spans="1:11" x14ac:dyDescent="0.25">
      <c r="A10" s="7" t="s">
        <v>123</v>
      </c>
      <c r="B10" s="10" t="s">
        <v>126</v>
      </c>
      <c r="F10" s="8" t="s">
        <v>145</v>
      </c>
      <c r="G10" s="9">
        <v>2</v>
      </c>
      <c r="J10" s="8" t="s">
        <v>134</v>
      </c>
      <c r="K10" s="5">
        <v>389.09999999999991</v>
      </c>
    </row>
    <row r="11" spans="1:11" x14ac:dyDescent="0.25">
      <c r="A11" s="8" t="s">
        <v>10</v>
      </c>
      <c r="B11" s="10">
        <v>86</v>
      </c>
      <c r="F11" s="8" t="s">
        <v>146</v>
      </c>
      <c r="G11" s="9">
        <v>1</v>
      </c>
      <c r="J11" s="8" t="s">
        <v>135</v>
      </c>
      <c r="K11" s="5">
        <v>428.99999999999989</v>
      </c>
    </row>
    <row r="12" spans="1:11" x14ac:dyDescent="0.25">
      <c r="A12" s="8" t="s">
        <v>15</v>
      </c>
      <c r="B12" s="10">
        <v>14</v>
      </c>
      <c r="F12" s="8" t="s">
        <v>147</v>
      </c>
      <c r="G12" s="9">
        <v>1</v>
      </c>
      <c r="J12" s="8" t="s">
        <v>136</v>
      </c>
      <c r="K12" s="5">
        <v>448.99999999999989</v>
      </c>
    </row>
    <row r="13" spans="1:11" x14ac:dyDescent="0.25">
      <c r="A13" s="8" t="s">
        <v>124</v>
      </c>
      <c r="B13" s="10">
        <v>100</v>
      </c>
      <c r="F13" s="8" t="s">
        <v>124</v>
      </c>
      <c r="G13" s="9">
        <v>14</v>
      </c>
      <c r="J13" s="8" t="s">
        <v>137</v>
      </c>
      <c r="K13" s="5">
        <v>418.99999999999989</v>
      </c>
    </row>
    <row r="14" spans="1:11" x14ac:dyDescent="0.25">
      <c r="J14" s="8" t="s">
        <v>138</v>
      </c>
      <c r="K14" s="5">
        <v>229.5</v>
      </c>
    </row>
    <row r="15" spans="1:11" x14ac:dyDescent="0.25">
      <c r="J15" s="8" t="s">
        <v>124</v>
      </c>
      <c r="K15" s="5">
        <v>3791.3999999999992</v>
      </c>
    </row>
    <row r="16" spans="1:11" x14ac:dyDescent="0.25">
      <c r="A16" s="7" t="s">
        <v>123</v>
      </c>
      <c r="B16" t="s">
        <v>127</v>
      </c>
      <c r="F16" s="7" t="s">
        <v>123</v>
      </c>
      <c r="G16" s="5" t="s">
        <v>125</v>
      </c>
    </row>
    <row r="17" spans="1:7" x14ac:dyDescent="0.25">
      <c r="A17" s="8" t="s">
        <v>128</v>
      </c>
      <c r="B17" s="2">
        <v>5</v>
      </c>
      <c r="F17" s="8" t="s">
        <v>128</v>
      </c>
      <c r="G17" s="5">
        <v>219.5</v>
      </c>
    </row>
    <row r="18" spans="1:7" x14ac:dyDescent="0.25">
      <c r="A18" s="8" t="s">
        <v>129</v>
      </c>
      <c r="B18" s="2">
        <v>10</v>
      </c>
      <c r="F18" s="8" t="s">
        <v>129</v>
      </c>
      <c r="G18" s="5">
        <v>428.99999999999989</v>
      </c>
    </row>
    <row r="19" spans="1:7" x14ac:dyDescent="0.25">
      <c r="A19" s="8" t="s">
        <v>130</v>
      </c>
      <c r="B19" s="2">
        <v>10</v>
      </c>
      <c r="F19" s="8" t="s">
        <v>130</v>
      </c>
      <c r="G19" s="5">
        <v>448.99999999999989</v>
      </c>
    </row>
    <row r="20" spans="1:7" x14ac:dyDescent="0.25">
      <c r="A20" s="8" t="s">
        <v>131</v>
      </c>
      <c r="B20" s="2">
        <v>10</v>
      </c>
      <c r="F20" s="8" t="s">
        <v>131</v>
      </c>
      <c r="G20" s="5">
        <v>418.99999999999989</v>
      </c>
    </row>
    <row r="21" spans="1:7" x14ac:dyDescent="0.25">
      <c r="A21" s="8" t="s">
        <v>132</v>
      </c>
      <c r="B21" s="2">
        <v>10</v>
      </c>
      <c r="F21" s="8" t="s">
        <v>132</v>
      </c>
      <c r="G21" s="5">
        <v>428.99999999999989</v>
      </c>
    </row>
    <row r="22" spans="1:7" x14ac:dyDescent="0.25">
      <c r="A22" s="8" t="s">
        <v>133</v>
      </c>
      <c r="B22" s="2">
        <v>10</v>
      </c>
      <c r="F22" s="8" t="s">
        <v>133</v>
      </c>
      <c r="G22" s="5">
        <v>448.99999999999989</v>
      </c>
    </row>
    <row r="23" spans="1:7" x14ac:dyDescent="0.25">
      <c r="A23" s="8" t="s">
        <v>134</v>
      </c>
      <c r="B23" s="2">
        <v>10</v>
      </c>
      <c r="F23" s="8" t="s">
        <v>134</v>
      </c>
      <c r="G23" s="5">
        <v>418.99999999999989</v>
      </c>
    </row>
    <row r="24" spans="1:7" x14ac:dyDescent="0.25">
      <c r="A24" s="8" t="s">
        <v>135</v>
      </c>
      <c r="B24" s="2">
        <v>10</v>
      </c>
      <c r="F24" s="8" t="s">
        <v>135</v>
      </c>
      <c r="G24" s="5">
        <v>428.99999999999989</v>
      </c>
    </row>
    <row r="25" spans="1:7" x14ac:dyDescent="0.25">
      <c r="A25" s="8" t="s">
        <v>136</v>
      </c>
      <c r="B25" s="2">
        <v>10</v>
      </c>
      <c r="F25" s="8" t="s">
        <v>136</v>
      </c>
      <c r="G25" s="5">
        <v>448.99999999999989</v>
      </c>
    </row>
    <row r="26" spans="1:7" x14ac:dyDescent="0.25">
      <c r="A26" s="8" t="s">
        <v>137</v>
      </c>
      <c r="B26" s="2">
        <v>10</v>
      </c>
      <c r="F26" s="8" t="s">
        <v>137</v>
      </c>
      <c r="G26" s="5">
        <v>418.99999999999989</v>
      </c>
    </row>
    <row r="27" spans="1:7" x14ac:dyDescent="0.25">
      <c r="A27" s="8" t="s">
        <v>138</v>
      </c>
      <c r="B27" s="2">
        <v>5</v>
      </c>
      <c r="F27" s="8" t="s">
        <v>138</v>
      </c>
      <c r="G27" s="5">
        <v>229.5</v>
      </c>
    </row>
    <row r="28" spans="1:7" x14ac:dyDescent="0.25">
      <c r="A28" s="8" t="s">
        <v>124</v>
      </c>
      <c r="B28" s="2">
        <v>100</v>
      </c>
      <c r="F28" s="8" t="s">
        <v>124</v>
      </c>
      <c r="G28" s="5">
        <v>4339.9999999999991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6B658-18BD-4A29-BC37-A407200B5CD8}">
  <dimension ref="A1:H101"/>
  <sheetViews>
    <sheetView topLeftCell="A2" workbookViewId="0">
      <selection activeCell="I1" sqref="I1"/>
    </sheetView>
  </sheetViews>
  <sheetFormatPr defaultRowHeight="15" x14ac:dyDescent="0.25"/>
  <cols>
    <col min="1" max="1" width="12" customWidth="1"/>
    <col min="2" max="2" width="17.5703125" bestFit="1" customWidth="1"/>
    <col min="3" max="3" width="9" bestFit="1" customWidth="1"/>
    <col min="4" max="4" width="16.42578125" customWidth="1"/>
    <col min="5" max="5" width="12.85546875" customWidth="1"/>
    <col min="6" max="6" width="20.5703125" customWidth="1"/>
    <col min="7" max="7" width="10.42578125" bestFit="1" customWidth="1"/>
    <col min="8" max="8" width="21" hidden="1" customWidth="1"/>
  </cols>
  <sheetData>
    <row r="1" spans="1:8" x14ac:dyDescent="0.25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t="s">
        <v>6</v>
      </c>
      <c r="H1" t="s">
        <v>148</v>
      </c>
    </row>
    <row r="2" spans="1:8" x14ac:dyDescent="0.25">
      <c r="A2">
        <v>1</v>
      </c>
      <c r="B2" t="s">
        <v>7</v>
      </c>
      <c r="C2" t="s">
        <v>8</v>
      </c>
      <c r="D2" s="4">
        <v>29.9</v>
      </c>
      <c r="E2" s="1">
        <v>44931</v>
      </c>
      <c r="F2" t="s">
        <v>9</v>
      </c>
      <c r="G2" t="s">
        <v>10</v>
      </c>
      <c r="H2" t="str">
        <f>TEXT(Tabela9[[#This Row],[data_cancelamento]],"yyyy-mm")</f>
        <v>NULL</v>
      </c>
    </row>
    <row r="3" spans="1:8" x14ac:dyDescent="0.25">
      <c r="A3">
        <v>2</v>
      </c>
      <c r="B3" t="s">
        <v>11</v>
      </c>
      <c r="C3" t="s">
        <v>12</v>
      </c>
      <c r="D3" s="4">
        <v>59.9</v>
      </c>
      <c r="E3" s="1">
        <v>44936</v>
      </c>
      <c r="F3" t="s">
        <v>9</v>
      </c>
      <c r="G3" t="s">
        <v>10</v>
      </c>
      <c r="H3" t="str">
        <f>TEXT(Tabela9[[#This Row],[data_cancelamento]],"yyyy-mm")</f>
        <v>NULL</v>
      </c>
    </row>
    <row r="4" spans="1:8" x14ac:dyDescent="0.25">
      <c r="A4">
        <v>3</v>
      </c>
      <c r="B4" t="s">
        <v>13</v>
      </c>
      <c r="C4" t="s">
        <v>14</v>
      </c>
      <c r="D4" s="4">
        <v>39.9</v>
      </c>
      <c r="E4" s="1">
        <v>44938</v>
      </c>
      <c r="F4" s="1">
        <v>45026</v>
      </c>
      <c r="G4" t="s">
        <v>15</v>
      </c>
      <c r="H4" t="str">
        <f>TEXT(Tabela9[[#This Row],[data_cancelamento]],"yyyy-mm")</f>
        <v>2023-04</v>
      </c>
    </row>
    <row r="5" spans="1:8" x14ac:dyDescent="0.25">
      <c r="A5">
        <v>4</v>
      </c>
      <c r="B5" t="s">
        <v>16</v>
      </c>
      <c r="C5" t="s">
        <v>12</v>
      </c>
      <c r="D5" s="4">
        <v>59.9</v>
      </c>
      <c r="E5" s="1">
        <v>44941</v>
      </c>
      <c r="F5" t="s">
        <v>9</v>
      </c>
      <c r="G5" t="s">
        <v>10</v>
      </c>
      <c r="H5" t="str">
        <f>TEXT(Tabela9[[#This Row],[data_cancelamento]],"yyyy-mm")</f>
        <v>NULL</v>
      </c>
    </row>
    <row r="6" spans="1:8" x14ac:dyDescent="0.25">
      <c r="A6">
        <v>5</v>
      </c>
      <c r="B6" t="s">
        <v>17</v>
      </c>
      <c r="C6" t="s">
        <v>8</v>
      </c>
      <c r="D6" s="4">
        <v>29.9</v>
      </c>
      <c r="E6" s="1">
        <v>44946</v>
      </c>
      <c r="F6" s="1">
        <v>44986</v>
      </c>
      <c r="G6" t="s">
        <v>15</v>
      </c>
      <c r="H6" t="str">
        <f>TEXT(Tabela9[[#This Row],[data_cancelamento]],"yyyy-mm")</f>
        <v>2023-03</v>
      </c>
    </row>
    <row r="7" spans="1:8" x14ac:dyDescent="0.25">
      <c r="A7">
        <v>6</v>
      </c>
      <c r="B7" t="s">
        <v>18</v>
      </c>
      <c r="C7" t="s">
        <v>14</v>
      </c>
      <c r="D7" s="4">
        <v>39.9</v>
      </c>
      <c r="E7" s="1">
        <v>44958</v>
      </c>
      <c r="F7" t="s">
        <v>9</v>
      </c>
      <c r="G7" t="s">
        <v>10</v>
      </c>
      <c r="H7" t="str">
        <f>TEXT(Tabela9[[#This Row],[data_cancelamento]],"yyyy-mm")</f>
        <v>NULL</v>
      </c>
    </row>
    <row r="8" spans="1:8" x14ac:dyDescent="0.25">
      <c r="A8">
        <v>7</v>
      </c>
      <c r="B8" t="s">
        <v>19</v>
      </c>
      <c r="C8" t="s">
        <v>12</v>
      </c>
      <c r="D8" s="4">
        <v>59.9</v>
      </c>
      <c r="E8" s="1">
        <v>44960</v>
      </c>
      <c r="F8" t="s">
        <v>9</v>
      </c>
      <c r="G8" t="s">
        <v>10</v>
      </c>
      <c r="H8" t="str">
        <f>TEXT(Tabela9[[#This Row],[data_cancelamento]],"yyyy-mm")</f>
        <v>NULL</v>
      </c>
    </row>
    <row r="9" spans="1:8" x14ac:dyDescent="0.25">
      <c r="A9">
        <v>8</v>
      </c>
      <c r="B9" t="s">
        <v>20</v>
      </c>
      <c r="C9" t="s">
        <v>8</v>
      </c>
      <c r="D9" s="4">
        <v>29.9</v>
      </c>
      <c r="E9" s="1">
        <v>44962</v>
      </c>
      <c r="F9" s="1">
        <v>45056</v>
      </c>
      <c r="G9" t="s">
        <v>15</v>
      </c>
      <c r="H9" t="str">
        <f>TEXT(Tabela9[[#This Row],[data_cancelamento]],"yyyy-mm")</f>
        <v>2023-05</v>
      </c>
    </row>
    <row r="10" spans="1:8" x14ac:dyDescent="0.25">
      <c r="A10">
        <v>9</v>
      </c>
      <c r="B10" t="s">
        <v>21</v>
      </c>
      <c r="C10" t="s">
        <v>14</v>
      </c>
      <c r="D10" s="4">
        <v>39.9</v>
      </c>
      <c r="E10" s="1">
        <v>44964</v>
      </c>
      <c r="F10" t="s">
        <v>9</v>
      </c>
      <c r="G10" t="s">
        <v>10</v>
      </c>
      <c r="H10" t="str">
        <f>TEXT(Tabela9[[#This Row],[data_cancelamento]],"yyyy-mm")</f>
        <v>NULL</v>
      </c>
    </row>
    <row r="11" spans="1:8" x14ac:dyDescent="0.25">
      <c r="A11">
        <v>10</v>
      </c>
      <c r="B11" t="s">
        <v>22</v>
      </c>
      <c r="C11" t="s">
        <v>12</v>
      </c>
      <c r="D11" s="4">
        <v>59.9</v>
      </c>
      <c r="E11" s="1">
        <v>44967</v>
      </c>
      <c r="F11" t="s">
        <v>9</v>
      </c>
      <c r="G11" t="s">
        <v>10</v>
      </c>
      <c r="H11" t="str">
        <f>TEXT(Tabela9[[#This Row],[data_cancelamento]],"yyyy-mm")</f>
        <v>NULL</v>
      </c>
    </row>
    <row r="12" spans="1:8" x14ac:dyDescent="0.25">
      <c r="A12">
        <v>11</v>
      </c>
      <c r="B12" t="s">
        <v>23</v>
      </c>
      <c r="C12" t="s">
        <v>8</v>
      </c>
      <c r="D12" s="4">
        <v>29.9</v>
      </c>
      <c r="E12" s="1">
        <v>44969</v>
      </c>
      <c r="F12" t="s">
        <v>9</v>
      </c>
      <c r="G12" t="s">
        <v>10</v>
      </c>
      <c r="H12" t="str">
        <f>TEXT(Tabela9[[#This Row],[data_cancelamento]],"yyyy-mm")</f>
        <v>NULL</v>
      </c>
    </row>
    <row r="13" spans="1:8" x14ac:dyDescent="0.25">
      <c r="A13">
        <v>12</v>
      </c>
      <c r="B13" t="s">
        <v>24</v>
      </c>
      <c r="C13" t="s">
        <v>14</v>
      </c>
      <c r="D13" s="4">
        <v>39.9</v>
      </c>
      <c r="E13" s="1">
        <v>44972</v>
      </c>
      <c r="F13" s="1">
        <v>45078</v>
      </c>
      <c r="G13" t="s">
        <v>15</v>
      </c>
      <c r="H13" t="str">
        <f>TEXT(Tabela9[[#This Row],[data_cancelamento]],"yyyy-mm")</f>
        <v>2023-06</v>
      </c>
    </row>
    <row r="14" spans="1:8" x14ac:dyDescent="0.25">
      <c r="A14">
        <v>13</v>
      </c>
      <c r="B14" t="s">
        <v>25</v>
      </c>
      <c r="C14" t="s">
        <v>12</v>
      </c>
      <c r="D14" s="4">
        <v>59.9</v>
      </c>
      <c r="E14" s="1">
        <v>44975</v>
      </c>
      <c r="F14" t="s">
        <v>9</v>
      </c>
      <c r="G14" t="s">
        <v>10</v>
      </c>
      <c r="H14" t="str">
        <f>TEXT(Tabela9[[#This Row],[data_cancelamento]],"yyyy-mm")</f>
        <v>NULL</v>
      </c>
    </row>
    <row r="15" spans="1:8" x14ac:dyDescent="0.25">
      <c r="A15">
        <v>14</v>
      </c>
      <c r="B15" t="s">
        <v>26</v>
      </c>
      <c r="C15" t="s">
        <v>8</v>
      </c>
      <c r="D15" s="4">
        <v>29.9</v>
      </c>
      <c r="E15" s="1">
        <v>44977</v>
      </c>
      <c r="F15" t="s">
        <v>9</v>
      </c>
      <c r="G15" t="s">
        <v>10</v>
      </c>
      <c r="H15" t="str">
        <f>TEXT(Tabela9[[#This Row],[data_cancelamento]],"yyyy-mm")</f>
        <v>NULL</v>
      </c>
    </row>
    <row r="16" spans="1:8" x14ac:dyDescent="0.25">
      <c r="A16">
        <v>15</v>
      </c>
      <c r="B16" t="s">
        <v>27</v>
      </c>
      <c r="C16" t="s">
        <v>14</v>
      </c>
      <c r="D16" s="4">
        <v>39.9</v>
      </c>
      <c r="E16" s="1">
        <v>44979</v>
      </c>
      <c r="F16" s="1">
        <v>45036</v>
      </c>
      <c r="G16" t="s">
        <v>15</v>
      </c>
      <c r="H16" t="str">
        <f>TEXT(Tabela9[[#This Row],[data_cancelamento]],"yyyy-mm")</f>
        <v>2023-04</v>
      </c>
    </row>
    <row r="17" spans="1:8" x14ac:dyDescent="0.25">
      <c r="A17">
        <v>16</v>
      </c>
      <c r="B17" t="s">
        <v>28</v>
      </c>
      <c r="C17" t="s">
        <v>12</v>
      </c>
      <c r="D17" s="4">
        <v>59.9</v>
      </c>
      <c r="E17" s="1">
        <v>44986</v>
      </c>
      <c r="F17" t="s">
        <v>9</v>
      </c>
      <c r="G17" t="s">
        <v>10</v>
      </c>
      <c r="H17" t="str">
        <f>TEXT(Tabela9[[#This Row],[data_cancelamento]],"yyyy-mm")</f>
        <v>NULL</v>
      </c>
    </row>
    <row r="18" spans="1:8" x14ac:dyDescent="0.25">
      <c r="A18">
        <v>17</v>
      </c>
      <c r="B18" t="s">
        <v>29</v>
      </c>
      <c r="C18" t="s">
        <v>8</v>
      </c>
      <c r="D18" s="4">
        <v>29.9</v>
      </c>
      <c r="E18" s="1">
        <v>44988</v>
      </c>
      <c r="F18" t="s">
        <v>9</v>
      </c>
      <c r="G18" t="s">
        <v>10</v>
      </c>
      <c r="H18" t="str">
        <f>TEXT(Tabela9[[#This Row],[data_cancelamento]],"yyyy-mm")</f>
        <v>NULL</v>
      </c>
    </row>
    <row r="19" spans="1:8" x14ac:dyDescent="0.25">
      <c r="A19">
        <v>18</v>
      </c>
      <c r="B19" t="s">
        <v>30</v>
      </c>
      <c r="C19" t="s">
        <v>14</v>
      </c>
      <c r="D19" s="4">
        <v>39.9</v>
      </c>
      <c r="E19" s="1">
        <v>44990</v>
      </c>
      <c r="F19" t="s">
        <v>9</v>
      </c>
      <c r="G19" t="s">
        <v>10</v>
      </c>
      <c r="H19" t="str">
        <f>TEXT(Tabela9[[#This Row],[data_cancelamento]],"yyyy-mm")</f>
        <v>NULL</v>
      </c>
    </row>
    <row r="20" spans="1:8" x14ac:dyDescent="0.25">
      <c r="A20">
        <v>19</v>
      </c>
      <c r="B20" t="s">
        <v>31</v>
      </c>
      <c r="C20" t="s">
        <v>12</v>
      </c>
      <c r="D20" s="4">
        <v>59.9</v>
      </c>
      <c r="E20" s="1">
        <v>44992</v>
      </c>
      <c r="F20" s="1">
        <v>45108</v>
      </c>
      <c r="G20" t="s">
        <v>15</v>
      </c>
      <c r="H20" t="str">
        <f>TEXT(Tabela9[[#This Row],[data_cancelamento]],"yyyy-mm")</f>
        <v>2023-07</v>
      </c>
    </row>
    <row r="21" spans="1:8" x14ac:dyDescent="0.25">
      <c r="A21">
        <v>20</v>
      </c>
      <c r="B21" t="s">
        <v>32</v>
      </c>
      <c r="C21" t="s">
        <v>8</v>
      </c>
      <c r="D21" s="4">
        <v>29.9</v>
      </c>
      <c r="E21" s="1">
        <v>44995</v>
      </c>
      <c r="F21" t="s">
        <v>9</v>
      </c>
      <c r="G21" t="s">
        <v>10</v>
      </c>
      <c r="H21" t="str">
        <f>TEXT(Tabela9[[#This Row],[data_cancelamento]],"yyyy-mm")</f>
        <v>NULL</v>
      </c>
    </row>
    <row r="22" spans="1:8" x14ac:dyDescent="0.25">
      <c r="A22">
        <v>21</v>
      </c>
      <c r="B22" t="s">
        <v>33</v>
      </c>
      <c r="C22" t="s">
        <v>14</v>
      </c>
      <c r="D22" s="4">
        <v>39.9</v>
      </c>
      <c r="E22" s="1">
        <v>44997</v>
      </c>
      <c r="F22" t="s">
        <v>9</v>
      </c>
      <c r="G22" t="s">
        <v>10</v>
      </c>
      <c r="H22" t="str">
        <f>TEXT(Tabela9[[#This Row],[data_cancelamento]],"yyyy-mm")</f>
        <v>NULL</v>
      </c>
    </row>
    <row r="23" spans="1:8" x14ac:dyDescent="0.25">
      <c r="A23">
        <v>22</v>
      </c>
      <c r="B23" t="s">
        <v>34</v>
      </c>
      <c r="C23" t="s">
        <v>12</v>
      </c>
      <c r="D23" s="4">
        <v>59.9</v>
      </c>
      <c r="E23" s="1">
        <v>45000</v>
      </c>
      <c r="F23" t="s">
        <v>9</v>
      </c>
      <c r="G23" t="s">
        <v>10</v>
      </c>
      <c r="H23" t="str">
        <f>TEXT(Tabela9[[#This Row],[data_cancelamento]],"yyyy-mm")</f>
        <v>NULL</v>
      </c>
    </row>
    <row r="24" spans="1:8" x14ac:dyDescent="0.25">
      <c r="A24">
        <v>23</v>
      </c>
      <c r="B24" t="s">
        <v>35</v>
      </c>
      <c r="C24" t="s">
        <v>8</v>
      </c>
      <c r="D24" s="4">
        <v>29.9</v>
      </c>
      <c r="E24" s="1">
        <v>45003</v>
      </c>
      <c r="F24" s="1">
        <v>45087</v>
      </c>
      <c r="G24" t="s">
        <v>15</v>
      </c>
      <c r="H24" t="str">
        <f>TEXT(Tabela9[[#This Row],[data_cancelamento]],"yyyy-mm")</f>
        <v>2023-06</v>
      </c>
    </row>
    <row r="25" spans="1:8" x14ac:dyDescent="0.25">
      <c r="A25">
        <v>24</v>
      </c>
      <c r="B25" t="s">
        <v>36</v>
      </c>
      <c r="C25" t="s">
        <v>14</v>
      </c>
      <c r="D25" s="4">
        <v>39.9</v>
      </c>
      <c r="E25" s="1">
        <v>45005</v>
      </c>
      <c r="F25" t="s">
        <v>9</v>
      </c>
      <c r="G25" t="s">
        <v>10</v>
      </c>
      <c r="H25" t="str">
        <f>TEXT(Tabela9[[#This Row],[data_cancelamento]],"yyyy-mm")</f>
        <v>NULL</v>
      </c>
    </row>
    <row r="26" spans="1:8" x14ac:dyDescent="0.25">
      <c r="A26">
        <v>25</v>
      </c>
      <c r="B26" t="s">
        <v>37</v>
      </c>
      <c r="C26" t="s">
        <v>12</v>
      </c>
      <c r="D26" s="4">
        <v>59.9</v>
      </c>
      <c r="E26" s="1">
        <v>45007</v>
      </c>
      <c r="F26" t="s">
        <v>9</v>
      </c>
      <c r="G26" t="s">
        <v>10</v>
      </c>
      <c r="H26" t="str">
        <f>TEXT(Tabela9[[#This Row],[data_cancelamento]],"yyyy-mm")</f>
        <v>NULL</v>
      </c>
    </row>
    <row r="27" spans="1:8" x14ac:dyDescent="0.25">
      <c r="A27">
        <v>26</v>
      </c>
      <c r="B27" t="s">
        <v>38</v>
      </c>
      <c r="C27" t="s">
        <v>8</v>
      </c>
      <c r="D27" s="4">
        <v>29.9</v>
      </c>
      <c r="E27" s="1">
        <v>45017</v>
      </c>
      <c r="F27" t="s">
        <v>9</v>
      </c>
      <c r="G27" t="s">
        <v>10</v>
      </c>
      <c r="H27" t="str">
        <f>TEXT(Tabela9[[#This Row],[data_cancelamento]],"yyyy-mm")</f>
        <v>NULL</v>
      </c>
    </row>
    <row r="28" spans="1:8" x14ac:dyDescent="0.25">
      <c r="A28">
        <v>27</v>
      </c>
      <c r="B28" t="s">
        <v>39</v>
      </c>
      <c r="C28" t="s">
        <v>14</v>
      </c>
      <c r="D28" s="4">
        <v>39.9</v>
      </c>
      <c r="E28" s="1">
        <v>45019</v>
      </c>
      <c r="F28" s="1">
        <v>45122</v>
      </c>
      <c r="G28" t="s">
        <v>15</v>
      </c>
      <c r="H28" t="str">
        <f>TEXT(Tabela9[[#This Row],[data_cancelamento]],"yyyy-mm")</f>
        <v>2023-07</v>
      </c>
    </row>
    <row r="29" spans="1:8" x14ac:dyDescent="0.25">
      <c r="A29">
        <v>28</v>
      </c>
      <c r="B29" t="s">
        <v>40</v>
      </c>
      <c r="C29" t="s">
        <v>12</v>
      </c>
      <c r="D29" s="4">
        <v>59.9</v>
      </c>
      <c r="E29" s="1">
        <v>45021</v>
      </c>
      <c r="F29" t="s">
        <v>9</v>
      </c>
      <c r="G29" t="s">
        <v>10</v>
      </c>
      <c r="H29" t="str">
        <f>TEXT(Tabela9[[#This Row],[data_cancelamento]],"yyyy-mm")</f>
        <v>NULL</v>
      </c>
    </row>
    <row r="30" spans="1:8" x14ac:dyDescent="0.25">
      <c r="A30">
        <v>29</v>
      </c>
      <c r="B30" t="s">
        <v>41</v>
      </c>
      <c r="C30" t="s">
        <v>8</v>
      </c>
      <c r="D30" s="4">
        <v>29.9</v>
      </c>
      <c r="E30" s="1">
        <v>45023</v>
      </c>
      <c r="F30" t="s">
        <v>9</v>
      </c>
      <c r="G30" t="s">
        <v>10</v>
      </c>
      <c r="H30" t="str">
        <f>TEXT(Tabela9[[#This Row],[data_cancelamento]],"yyyy-mm")</f>
        <v>NULL</v>
      </c>
    </row>
    <row r="31" spans="1:8" x14ac:dyDescent="0.25">
      <c r="A31">
        <v>30</v>
      </c>
      <c r="B31" t="s">
        <v>42</v>
      </c>
      <c r="C31" t="s">
        <v>14</v>
      </c>
      <c r="D31" s="4">
        <v>39.9</v>
      </c>
      <c r="E31" s="1">
        <v>45026</v>
      </c>
      <c r="F31" t="s">
        <v>9</v>
      </c>
      <c r="G31" t="s">
        <v>10</v>
      </c>
      <c r="H31" t="str">
        <f>TEXT(Tabela9[[#This Row],[data_cancelamento]],"yyyy-mm")</f>
        <v>NULL</v>
      </c>
    </row>
    <row r="32" spans="1:8" x14ac:dyDescent="0.25">
      <c r="A32">
        <v>31</v>
      </c>
      <c r="B32" t="s">
        <v>43</v>
      </c>
      <c r="C32" t="s">
        <v>12</v>
      </c>
      <c r="D32" s="4">
        <v>59.9</v>
      </c>
      <c r="E32" s="1">
        <v>45028</v>
      </c>
      <c r="F32" t="s">
        <v>9</v>
      </c>
      <c r="G32" t="s">
        <v>10</v>
      </c>
      <c r="H32" t="str">
        <f>TEXT(Tabela9[[#This Row],[data_cancelamento]],"yyyy-mm")</f>
        <v>NULL</v>
      </c>
    </row>
    <row r="33" spans="1:8" x14ac:dyDescent="0.25">
      <c r="A33">
        <v>32</v>
      </c>
      <c r="B33" t="s">
        <v>44</v>
      </c>
      <c r="C33" t="s">
        <v>8</v>
      </c>
      <c r="D33" s="4">
        <v>29.9</v>
      </c>
      <c r="E33" s="1">
        <v>45031</v>
      </c>
      <c r="F33" s="1">
        <v>45139</v>
      </c>
      <c r="G33" t="s">
        <v>15</v>
      </c>
      <c r="H33" t="str">
        <f>TEXT(Tabela9[[#This Row],[data_cancelamento]],"yyyy-mm")</f>
        <v>2023-08</v>
      </c>
    </row>
    <row r="34" spans="1:8" x14ac:dyDescent="0.25">
      <c r="A34">
        <v>33</v>
      </c>
      <c r="B34" t="s">
        <v>45</v>
      </c>
      <c r="C34" t="s">
        <v>14</v>
      </c>
      <c r="D34" s="4">
        <v>39.9</v>
      </c>
      <c r="E34" s="1">
        <v>45034</v>
      </c>
      <c r="F34" t="s">
        <v>9</v>
      </c>
      <c r="G34" t="s">
        <v>10</v>
      </c>
      <c r="H34" t="str">
        <f>TEXT(Tabela9[[#This Row],[data_cancelamento]],"yyyy-mm")</f>
        <v>NULL</v>
      </c>
    </row>
    <row r="35" spans="1:8" x14ac:dyDescent="0.25">
      <c r="A35">
        <v>34</v>
      </c>
      <c r="B35" t="s">
        <v>46</v>
      </c>
      <c r="C35" t="s">
        <v>12</v>
      </c>
      <c r="D35" s="4">
        <v>59.9</v>
      </c>
      <c r="E35" s="1">
        <v>45036</v>
      </c>
      <c r="F35" t="s">
        <v>9</v>
      </c>
      <c r="G35" t="s">
        <v>10</v>
      </c>
      <c r="H35" t="str">
        <f>TEXT(Tabela9[[#This Row],[data_cancelamento]],"yyyy-mm")</f>
        <v>NULL</v>
      </c>
    </row>
    <row r="36" spans="1:8" x14ac:dyDescent="0.25">
      <c r="A36">
        <v>35</v>
      </c>
      <c r="B36" t="s">
        <v>47</v>
      </c>
      <c r="C36" t="s">
        <v>8</v>
      </c>
      <c r="D36" s="4">
        <v>29.9</v>
      </c>
      <c r="E36" s="1">
        <v>45038</v>
      </c>
      <c r="F36" t="s">
        <v>9</v>
      </c>
      <c r="G36" t="s">
        <v>10</v>
      </c>
      <c r="H36" t="str">
        <f>TEXT(Tabela9[[#This Row],[data_cancelamento]],"yyyy-mm")</f>
        <v>NULL</v>
      </c>
    </row>
    <row r="37" spans="1:8" x14ac:dyDescent="0.25">
      <c r="A37">
        <v>36</v>
      </c>
      <c r="B37" t="s">
        <v>48</v>
      </c>
      <c r="C37" t="s">
        <v>14</v>
      </c>
      <c r="D37" s="4">
        <v>39.9</v>
      </c>
      <c r="E37" s="1">
        <v>45047</v>
      </c>
      <c r="F37" t="s">
        <v>9</v>
      </c>
      <c r="G37" t="s">
        <v>10</v>
      </c>
      <c r="H37" t="str">
        <f>TEXT(Tabela9[[#This Row],[data_cancelamento]],"yyyy-mm")</f>
        <v>NULL</v>
      </c>
    </row>
    <row r="38" spans="1:8" x14ac:dyDescent="0.25">
      <c r="A38">
        <v>37</v>
      </c>
      <c r="B38" t="s">
        <v>49</v>
      </c>
      <c r="C38" t="s">
        <v>12</v>
      </c>
      <c r="D38" s="4">
        <v>59.9</v>
      </c>
      <c r="E38" s="1">
        <v>45049</v>
      </c>
      <c r="F38" t="s">
        <v>9</v>
      </c>
      <c r="G38" t="s">
        <v>10</v>
      </c>
      <c r="H38" t="str">
        <f>TEXT(Tabela9[[#This Row],[data_cancelamento]],"yyyy-mm")</f>
        <v>NULL</v>
      </c>
    </row>
    <row r="39" spans="1:8" x14ac:dyDescent="0.25">
      <c r="A39">
        <v>38</v>
      </c>
      <c r="B39" t="s">
        <v>50</v>
      </c>
      <c r="C39" t="s">
        <v>8</v>
      </c>
      <c r="D39" s="4">
        <v>29.9</v>
      </c>
      <c r="E39" s="1">
        <v>45051</v>
      </c>
      <c r="F39" s="1">
        <v>45158</v>
      </c>
      <c r="G39" t="s">
        <v>15</v>
      </c>
      <c r="H39" t="str">
        <f>TEXT(Tabela9[[#This Row],[data_cancelamento]],"yyyy-mm")</f>
        <v>2023-08</v>
      </c>
    </row>
    <row r="40" spans="1:8" x14ac:dyDescent="0.25">
      <c r="A40">
        <v>39</v>
      </c>
      <c r="B40" t="s">
        <v>51</v>
      </c>
      <c r="C40" t="s">
        <v>14</v>
      </c>
      <c r="D40" s="4">
        <v>39.9</v>
      </c>
      <c r="E40" s="1">
        <v>45053</v>
      </c>
      <c r="F40" t="s">
        <v>9</v>
      </c>
      <c r="G40" t="s">
        <v>10</v>
      </c>
      <c r="H40" t="str">
        <f>TEXT(Tabela9[[#This Row],[data_cancelamento]],"yyyy-mm")</f>
        <v>NULL</v>
      </c>
    </row>
    <row r="41" spans="1:8" x14ac:dyDescent="0.25">
      <c r="A41">
        <v>40</v>
      </c>
      <c r="B41" t="s">
        <v>52</v>
      </c>
      <c r="C41" t="s">
        <v>12</v>
      </c>
      <c r="D41" s="4">
        <v>59.9</v>
      </c>
      <c r="E41" s="1">
        <v>45056</v>
      </c>
      <c r="F41" t="s">
        <v>9</v>
      </c>
      <c r="G41" t="s">
        <v>10</v>
      </c>
      <c r="H41" t="str">
        <f>TEXT(Tabela9[[#This Row],[data_cancelamento]],"yyyy-mm")</f>
        <v>NULL</v>
      </c>
    </row>
    <row r="42" spans="1:8" x14ac:dyDescent="0.25">
      <c r="A42">
        <v>41</v>
      </c>
      <c r="B42" t="s">
        <v>53</v>
      </c>
      <c r="C42" t="s">
        <v>8</v>
      </c>
      <c r="D42" s="4">
        <v>29.9</v>
      </c>
      <c r="E42" s="1">
        <v>45058</v>
      </c>
      <c r="F42" t="s">
        <v>9</v>
      </c>
      <c r="G42" t="s">
        <v>10</v>
      </c>
      <c r="H42" t="str">
        <f>TEXT(Tabela9[[#This Row],[data_cancelamento]],"yyyy-mm")</f>
        <v>NULL</v>
      </c>
    </row>
    <row r="43" spans="1:8" x14ac:dyDescent="0.25">
      <c r="A43">
        <v>42</v>
      </c>
      <c r="B43" t="s">
        <v>54</v>
      </c>
      <c r="C43" t="s">
        <v>14</v>
      </c>
      <c r="D43" s="4">
        <v>39.9</v>
      </c>
      <c r="E43" s="1">
        <v>45061</v>
      </c>
      <c r="F43" t="s">
        <v>9</v>
      </c>
      <c r="G43" t="s">
        <v>10</v>
      </c>
      <c r="H43" t="str">
        <f>TEXT(Tabela9[[#This Row],[data_cancelamento]],"yyyy-mm")</f>
        <v>NULL</v>
      </c>
    </row>
    <row r="44" spans="1:8" x14ac:dyDescent="0.25">
      <c r="A44">
        <v>43</v>
      </c>
      <c r="B44" t="s">
        <v>55</v>
      </c>
      <c r="C44" t="s">
        <v>12</v>
      </c>
      <c r="D44" s="4">
        <v>59.9</v>
      </c>
      <c r="E44" s="1">
        <v>45064</v>
      </c>
      <c r="F44" s="1">
        <v>45170</v>
      </c>
      <c r="G44" t="s">
        <v>15</v>
      </c>
      <c r="H44" t="str">
        <f>TEXT(Tabela9[[#This Row],[data_cancelamento]],"yyyy-mm")</f>
        <v>2023-09</v>
      </c>
    </row>
    <row r="45" spans="1:8" x14ac:dyDescent="0.25">
      <c r="A45">
        <v>44</v>
      </c>
      <c r="B45" t="s">
        <v>56</v>
      </c>
      <c r="C45" t="s">
        <v>8</v>
      </c>
      <c r="D45" s="4">
        <v>29.9</v>
      </c>
      <c r="E45" s="1">
        <v>45066</v>
      </c>
      <c r="F45" t="s">
        <v>9</v>
      </c>
      <c r="G45" t="s">
        <v>10</v>
      </c>
      <c r="H45" t="str">
        <f>TEXT(Tabela9[[#This Row],[data_cancelamento]],"yyyy-mm")</f>
        <v>NULL</v>
      </c>
    </row>
    <row r="46" spans="1:8" x14ac:dyDescent="0.25">
      <c r="A46">
        <v>45</v>
      </c>
      <c r="B46" t="s">
        <v>57</v>
      </c>
      <c r="C46" t="s">
        <v>14</v>
      </c>
      <c r="D46" s="4">
        <v>39.9</v>
      </c>
      <c r="E46" s="1">
        <v>45068</v>
      </c>
      <c r="F46" t="s">
        <v>9</v>
      </c>
      <c r="G46" t="s">
        <v>10</v>
      </c>
      <c r="H46" t="str">
        <f>TEXT(Tabela9[[#This Row],[data_cancelamento]],"yyyy-mm")</f>
        <v>NULL</v>
      </c>
    </row>
    <row r="47" spans="1:8" x14ac:dyDescent="0.25">
      <c r="A47">
        <v>46</v>
      </c>
      <c r="B47" t="s">
        <v>58</v>
      </c>
      <c r="C47" t="s">
        <v>12</v>
      </c>
      <c r="D47" s="4">
        <v>59.9</v>
      </c>
      <c r="E47" s="1">
        <v>45078</v>
      </c>
      <c r="F47" t="s">
        <v>9</v>
      </c>
      <c r="G47" t="s">
        <v>10</v>
      </c>
      <c r="H47" t="str">
        <f>TEXT(Tabela9[[#This Row],[data_cancelamento]],"yyyy-mm")</f>
        <v>NULL</v>
      </c>
    </row>
    <row r="48" spans="1:8" x14ac:dyDescent="0.25">
      <c r="A48">
        <v>47</v>
      </c>
      <c r="B48" t="s">
        <v>59</v>
      </c>
      <c r="C48" t="s">
        <v>8</v>
      </c>
      <c r="D48" s="4">
        <v>29.9</v>
      </c>
      <c r="E48" s="1">
        <v>45080</v>
      </c>
      <c r="F48" t="s">
        <v>9</v>
      </c>
      <c r="G48" t="s">
        <v>10</v>
      </c>
      <c r="H48" t="str">
        <f>TEXT(Tabela9[[#This Row],[data_cancelamento]],"yyyy-mm")</f>
        <v>NULL</v>
      </c>
    </row>
    <row r="49" spans="1:8" x14ac:dyDescent="0.25">
      <c r="A49">
        <v>48</v>
      </c>
      <c r="B49" t="s">
        <v>60</v>
      </c>
      <c r="C49" t="s">
        <v>14</v>
      </c>
      <c r="D49" s="4">
        <v>39.9</v>
      </c>
      <c r="E49" s="1">
        <v>45082</v>
      </c>
      <c r="F49" t="s">
        <v>9</v>
      </c>
      <c r="G49" t="s">
        <v>10</v>
      </c>
      <c r="H49" t="str">
        <f>TEXT(Tabela9[[#This Row],[data_cancelamento]],"yyyy-mm")</f>
        <v>NULL</v>
      </c>
    </row>
    <row r="50" spans="1:8" x14ac:dyDescent="0.25">
      <c r="A50">
        <v>49</v>
      </c>
      <c r="B50" t="s">
        <v>61</v>
      </c>
      <c r="C50" t="s">
        <v>12</v>
      </c>
      <c r="D50" s="4">
        <v>59.9</v>
      </c>
      <c r="E50" s="1">
        <v>45084</v>
      </c>
      <c r="F50" s="1">
        <v>45200</v>
      </c>
      <c r="G50" t="s">
        <v>15</v>
      </c>
      <c r="H50" t="str">
        <f>TEXT(Tabela9[[#This Row],[data_cancelamento]],"yyyy-mm")</f>
        <v>2023-10</v>
      </c>
    </row>
    <row r="51" spans="1:8" x14ac:dyDescent="0.25">
      <c r="A51">
        <v>50</v>
      </c>
      <c r="B51" t="s">
        <v>62</v>
      </c>
      <c r="C51" t="s">
        <v>8</v>
      </c>
      <c r="D51" s="4">
        <v>29.9</v>
      </c>
      <c r="E51" s="1">
        <v>45087</v>
      </c>
      <c r="F51" t="s">
        <v>9</v>
      </c>
      <c r="G51" t="s">
        <v>10</v>
      </c>
      <c r="H51" t="str">
        <f>TEXT(Tabela9[[#This Row],[data_cancelamento]],"yyyy-mm")</f>
        <v>NULL</v>
      </c>
    </row>
    <row r="52" spans="1:8" x14ac:dyDescent="0.25">
      <c r="A52">
        <v>51</v>
      </c>
      <c r="B52" t="s">
        <v>63</v>
      </c>
      <c r="C52" t="s">
        <v>14</v>
      </c>
      <c r="D52" s="4">
        <v>39.9</v>
      </c>
      <c r="E52" s="1">
        <v>45089</v>
      </c>
      <c r="F52" t="s">
        <v>9</v>
      </c>
      <c r="G52" t="s">
        <v>10</v>
      </c>
      <c r="H52" t="str">
        <f>TEXT(Tabela9[[#This Row],[data_cancelamento]],"yyyy-mm")</f>
        <v>NULL</v>
      </c>
    </row>
    <row r="53" spans="1:8" x14ac:dyDescent="0.25">
      <c r="A53">
        <v>52</v>
      </c>
      <c r="B53" t="s">
        <v>64</v>
      </c>
      <c r="C53" t="s">
        <v>12</v>
      </c>
      <c r="D53" s="4">
        <v>59.9</v>
      </c>
      <c r="E53" s="1">
        <v>45092</v>
      </c>
      <c r="F53" t="s">
        <v>9</v>
      </c>
      <c r="G53" t="s">
        <v>10</v>
      </c>
      <c r="H53" t="str">
        <f>TEXT(Tabela9[[#This Row],[data_cancelamento]],"yyyy-mm")</f>
        <v>NULL</v>
      </c>
    </row>
    <row r="54" spans="1:8" x14ac:dyDescent="0.25">
      <c r="A54">
        <v>53</v>
      </c>
      <c r="B54" t="s">
        <v>65</v>
      </c>
      <c r="C54" t="s">
        <v>8</v>
      </c>
      <c r="D54" s="4">
        <v>29.9</v>
      </c>
      <c r="E54" s="1">
        <v>45095</v>
      </c>
      <c r="F54" s="1">
        <v>45184</v>
      </c>
      <c r="G54" t="s">
        <v>15</v>
      </c>
      <c r="H54" t="str">
        <f>TEXT(Tabela9[[#This Row],[data_cancelamento]],"yyyy-mm")</f>
        <v>2023-09</v>
      </c>
    </row>
    <row r="55" spans="1:8" x14ac:dyDescent="0.25">
      <c r="A55">
        <v>54</v>
      </c>
      <c r="B55" t="s">
        <v>66</v>
      </c>
      <c r="C55" t="s">
        <v>14</v>
      </c>
      <c r="D55" s="4">
        <v>39.9</v>
      </c>
      <c r="E55" s="1">
        <v>45097</v>
      </c>
      <c r="F55" t="s">
        <v>9</v>
      </c>
      <c r="G55" t="s">
        <v>10</v>
      </c>
      <c r="H55" t="str">
        <f>TEXT(Tabela9[[#This Row],[data_cancelamento]],"yyyy-mm")</f>
        <v>NULL</v>
      </c>
    </row>
    <row r="56" spans="1:8" x14ac:dyDescent="0.25">
      <c r="A56">
        <v>55</v>
      </c>
      <c r="B56" t="s">
        <v>67</v>
      </c>
      <c r="C56" t="s">
        <v>12</v>
      </c>
      <c r="D56" s="4">
        <v>59.9</v>
      </c>
      <c r="E56" s="1">
        <v>45099</v>
      </c>
      <c r="F56" t="s">
        <v>9</v>
      </c>
      <c r="G56" t="s">
        <v>10</v>
      </c>
      <c r="H56" t="str">
        <f>TEXT(Tabela9[[#This Row],[data_cancelamento]],"yyyy-mm")</f>
        <v>NULL</v>
      </c>
    </row>
    <row r="57" spans="1:8" x14ac:dyDescent="0.25">
      <c r="A57">
        <v>56</v>
      </c>
      <c r="B57" t="s">
        <v>68</v>
      </c>
      <c r="C57" t="s">
        <v>8</v>
      </c>
      <c r="D57" s="4">
        <v>29.9</v>
      </c>
      <c r="E57" s="1">
        <v>45108</v>
      </c>
      <c r="F57" t="s">
        <v>9</v>
      </c>
      <c r="G57" t="s">
        <v>10</v>
      </c>
      <c r="H57" t="str">
        <f>TEXT(Tabela9[[#This Row],[data_cancelamento]],"yyyy-mm")</f>
        <v>NULL</v>
      </c>
    </row>
    <row r="58" spans="1:8" x14ac:dyDescent="0.25">
      <c r="A58">
        <v>57</v>
      </c>
      <c r="B58" t="s">
        <v>69</v>
      </c>
      <c r="C58" t="s">
        <v>14</v>
      </c>
      <c r="D58" s="4">
        <v>39.9</v>
      </c>
      <c r="E58" s="1">
        <v>45110</v>
      </c>
      <c r="F58" t="s">
        <v>9</v>
      </c>
      <c r="G58" t="s">
        <v>10</v>
      </c>
      <c r="H58" t="str">
        <f>TEXT(Tabela9[[#This Row],[data_cancelamento]],"yyyy-mm")</f>
        <v>NULL</v>
      </c>
    </row>
    <row r="59" spans="1:8" x14ac:dyDescent="0.25">
      <c r="A59">
        <v>58</v>
      </c>
      <c r="B59" t="s">
        <v>70</v>
      </c>
      <c r="C59" t="s">
        <v>12</v>
      </c>
      <c r="D59" s="4">
        <v>59.9</v>
      </c>
      <c r="E59" s="1">
        <v>45112</v>
      </c>
      <c r="F59" t="s">
        <v>9</v>
      </c>
      <c r="G59" t="s">
        <v>10</v>
      </c>
      <c r="H59" t="str">
        <f>TEXT(Tabela9[[#This Row],[data_cancelamento]],"yyyy-mm")</f>
        <v>NULL</v>
      </c>
    </row>
    <row r="60" spans="1:8" x14ac:dyDescent="0.25">
      <c r="A60">
        <v>59</v>
      </c>
      <c r="B60" t="s">
        <v>71</v>
      </c>
      <c r="C60" t="s">
        <v>8</v>
      </c>
      <c r="D60" s="4">
        <v>29.9</v>
      </c>
      <c r="E60" s="1">
        <v>45114</v>
      </c>
      <c r="F60" t="s">
        <v>9</v>
      </c>
      <c r="G60" t="s">
        <v>10</v>
      </c>
      <c r="H60" t="str">
        <f>TEXT(Tabela9[[#This Row],[data_cancelamento]],"yyyy-mm")</f>
        <v>NULL</v>
      </c>
    </row>
    <row r="61" spans="1:8" x14ac:dyDescent="0.25">
      <c r="A61">
        <v>60</v>
      </c>
      <c r="B61" t="s">
        <v>72</v>
      </c>
      <c r="C61" t="s">
        <v>14</v>
      </c>
      <c r="D61" s="4">
        <v>39.9</v>
      </c>
      <c r="E61" s="1">
        <v>45117</v>
      </c>
      <c r="F61" t="s">
        <v>9</v>
      </c>
      <c r="G61" t="s">
        <v>10</v>
      </c>
      <c r="H61" t="str">
        <f>TEXT(Tabela9[[#This Row],[data_cancelamento]],"yyyy-mm")</f>
        <v>NULL</v>
      </c>
    </row>
    <row r="62" spans="1:8" x14ac:dyDescent="0.25">
      <c r="A62">
        <v>61</v>
      </c>
      <c r="B62" t="s">
        <v>73</v>
      </c>
      <c r="C62" t="s">
        <v>12</v>
      </c>
      <c r="D62" s="4">
        <v>59.9</v>
      </c>
      <c r="E62" s="1">
        <v>45119</v>
      </c>
      <c r="F62" t="s">
        <v>9</v>
      </c>
      <c r="G62" t="s">
        <v>10</v>
      </c>
      <c r="H62" t="str">
        <f>TEXT(Tabela9[[#This Row],[data_cancelamento]],"yyyy-mm")</f>
        <v>NULL</v>
      </c>
    </row>
    <row r="63" spans="1:8" x14ac:dyDescent="0.25">
      <c r="A63">
        <v>62</v>
      </c>
      <c r="B63" t="s">
        <v>74</v>
      </c>
      <c r="C63" t="s">
        <v>8</v>
      </c>
      <c r="D63" s="4">
        <v>29.9</v>
      </c>
      <c r="E63" s="1">
        <v>45122</v>
      </c>
      <c r="F63" s="1">
        <v>45231</v>
      </c>
      <c r="G63" t="s">
        <v>15</v>
      </c>
      <c r="H63" t="str">
        <f>TEXT(Tabela9[[#This Row],[data_cancelamento]],"yyyy-mm")</f>
        <v>2023-11</v>
      </c>
    </row>
    <row r="64" spans="1:8" x14ac:dyDescent="0.25">
      <c r="A64">
        <v>63</v>
      </c>
      <c r="B64" t="s">
        <v>75</v>
      </c>
      <c r="C64" t="s">
        <v>14</v>
      </c>
      <c r="D64" s="4">
        <v>39.9</v>
      </c>
      <c r="E64" s="1">
        <v>45125</v>
      </c>
      <c r="F64" t="s">
        <v>9</v>
      </c>
      <c r="G64" t="s">
        <v>10</v>
      </c>
      <c r="H64" t="str">
        <f>TEXT(Tabela9[[#This Row],[data_cancelamento]],"yyyy-mm")</f>
        <v>NULL</v>
      </c>
    </row>
    <row r="65" spans="1:8" x14ac:dyDescent="0.25">
      <c r="A65">
        <v>64</v>
      </c>
      <c r="B65" t="s">
        <v>76</v>
      </c>
      <c r="C65" t="s">
        <v>12</v>
      </c>
      <c r="D65" s="4">
        <v>59.9</v>
      </c>
      <c r="E65" s="1">
        <v>45127</v>
      </c>
      <c r="F65" t="s">
        <v>9</v>
      </c>
      <c r="G65" t="s">
        <v>10</v>
      </c>
      <c r="H65" t="str">
        <f>TEXT(Tabela9[[#This Row],[data_cancelamento]],"yyyy-mm")</f>
        <v>NULL</v>
      </c>
    </row>
    <row r="66" spans="1:8" x14ac:dyDescent="0.25">
      <c r="A66">
        <v>65</v>
      </c>
      <c r="B66" t="s">
        <v>77</v>
      </c>
      <c r="C66" t="s">
        <v>8</v>
      </c>
      <c r="D66" s="4">
        <v>29.9</v>
      </c>
      <c r="E66" s="1">
        <v>45129</v>
      </c>
      <c r="F66" t="s">
        <v>9</v>
      </c>
      <c r="G66" t="s">
        <v>10</v>
      </c>
      <c r="H66" t="str">
        <f>TEXT(Tabela9[[#This Row],[data_cancelamento]],"yyyy-mm")</f>
        <v>NULL</v>
      </c>
    </row>
    <row r="67" spans="1:8" x14ac:dyDescent="0.25">
      <c r="A67">
        <v>66</v>
      </c>
      <c r="B67" t="s">
        <v>78</v>
      </c>
      <c r="C67" t="s">
        <v>14</v>
      </c>
      <c r="D67" s="4">
        <v>39.9</v>
      </c>
      <c r="E67" s="1">
        <v>45139</v>
      </c>
      <c r="F67" t="s">
        <v>9</v>
      </c>
      <c r="G67" t="s">
        <v>10</v>
      </c>
      <c r="H67" t="str">
        <f>TEXT(Tabela9[[#This Row],[data_cancelamento]],"yyyy-mm")</f>
        <v>NULL</v>
      </c>
    </row>
    <row r="68" spans="1:8" x14ac:dyDescent="0.25">
      <c r="A68">
        <v>67</v>
      </c>
      <c r="B68" t="s">
        <v>79</v>
      </c>
      <c r="C68" t="s">
        <v>12</v>
      </c>
      <c r="D68" s="4">
        <v>59.9</v>
      </c>
      <c r="E68" s="1">
        <v>45141</v>
      </c>
      <c r="F68" t="s">
        <v>9</v>
      </c>
      <c r="G68" t="s">
        <v>10</v>
      </c>
      <c r="H68" t="str">
        <f>TEXT(Tabela9[[#This Row],[data_cancelamento]],"yyyy-mm")</f>
        <v>NULL</v>
      </c>
    </row>
    <row r="69" spans="1:8" x14ac:dyDescent="0.25">
      <c r="A69">
        <v>68</v>
      </c>
      <c r="B69" t="s">
        <v>80</v>
      </c>
      <c r="C69" t="s">
        <v>8</v>
      </c>
      <c r="D69" s="4">
        <v>29.9</v>
      </c>
      <c r="E69" s="1">
        <v>45143</v>
      </c>
      <c r="F69" t="s">
        <v>9</v>
      </c>
      <c r="G69" t="s">
        <v>10</v>
      </c>
      <c r="H69" t="str">
        <f>TEXT(Tabela9[[#This Row],[data_cancelamento]],"yyyy-mm")</f>
        <v>NULL</v>
      </c>
    </row>
    <row r="70" spans="1:8" x14ac:dyDescent="0.25">
      <c r="A70">
        <v>69</v>
      </c>
      <c r="B70" t="s">
        <v>81</v>
      </c>
      <c r="C70" t="s">
        <v>14</v>
      </c>
      <c r="D70" s="4">
        <v>39.9</v>
      </c>
      <c r="E70" s="1">
        <v>45145</v>
      </c>
      <c r="F70" t="s">
        <v>9</v>
      </c>
      <c r="G70" t="s">
        <v>10</v>
      </c>
      <c r="H70" t="str">
        <f>TEXT(Tabela9[[#This Row],[data_cancelamento]],"yyyy-mm")</f>
        <v>NULL</v>
      </c>
    </row>
    <row r="71" spans="1:8" x14ac:dyDescent="0.25">
      <c r="A71">
        <v>70</v>
      </c>
      <c r="B71" t="s">
        <v>82</v>
      </c>
      <c r="C71" t="s">
        <v>12</v>
      </c>
      <c r="D71" s="4">
        <v>59.9</v>
      </c>
      <c r="E71" s="1">
        <v>45148</v>
      </c>
      <c r="F71" t="s">
        <v>9</v>
      </c>
      <c r="G71" t="s">
        <v>10</v>
      </c>
      <c r="H71" t="str">
        <f>TEXT(Tabela9[[#This Row],[data_cancelamento]],"yyyy-mm")</f>
        <v>NULL</v>
      </c>
    </row>
    <row r="72" spans="1:8" x14ac:dyDescent="0.25">
      <c r="A72">
        <v>71</v>
      </c>
      <c r="B72" t="s">
        <v>83</v>
      </c>
      <c r="C72" t="s">
        <v>8</v>
      </c>
      <c r="D72" s="4">
        <v>29.9</v>
      </c>
      <c r="E72" s="1">
        <v>45150</v>
      </c>
      <c r="F72" t="s">
        <v>9</v>
      </c>
      <c r="G72" t="s">
        <v>10</v>
      </c>
      <c r="H72" t="str">
        <f>TEXT(Tabela9[[#This Row],[data_cancelamento]],"yyyy-mm")</f>
        <v>NULL</v>
      </c>
    </row>
    <row r="73" spans="1:8" x14ac:dyDescent="0.25">
      <c r="A73">
        <v>72</v>
      </c>
      <c r="B73" t="s">
        <v>84</v>
      </c>
      <c r="C73" t="s">
        <v>14</v>
      </c>
      <c r="D73" s="4">
        <v>39.9</v>
      </c>
      <c r="E73" s="1">
        <v>45153</v>
      </c>
      <c r="F73" t="s">
        <v>9</v>
      </c>
      <c r="G73" t="s">
        <v>10</v>
      </c>
      <c r="H73" t="str">
        <f>TEXT(Tabela9[[#This Row],[data_cancelamento]],"yyyy-mm")</f>
        <v>NULL</v>
      </c>
    </row>
    <row r="74" spans="1:8" x14ac:dyDescent="0.25">
      <c r="A74">
        <v>73</v>
      </c>
      <c r="B74" t="s">
        <v>85</v>
      </c>
      <c r="C74" t="s">
        <v>12</v>
      </c>
      <c r="D74" s="4">
        <v>59.9</v>
      </c>
      <c r="E74" s="1">
        <v>45156</v>
      </c>
      <c r="F74" t="s">
        <v>9</v>
      </c>
      <c r="G74" t="s">
        <v>10</v>
      </c>
      <c r="H74" t="str">
        <f>TEXT(Tabela9[[#This Row],[data_cancelamento]],"yyyy-mm")</f>
        <v>NULL</v>
      </c>
    </row>
    <row r="75" spans="1:8" x14ac:dyDescent="0.25">
      <c r="A75">
        <v>74</v>
      </c>
      <c r="B75" t="s">
        <v>86</v>
      </c>
      <c r="C75" t="s">
        <v>8</v>
      </c>
      <c r="D75" s="4">
        <v>29.9</v>
      </c>
      <c r="E75" s="1">
        <v>45158</v>
      </c>
      <c r="F75" t="s">
        <v>9</v>
      </c>
      <c r="G75" t="s">
        <v>10</v>
      </c>
      <c r="H75" t="str">
        <f>TEXT(Tabela9[[#This Row],[data_cancelamento]],"yyyy-mm")</f>
        <v>NULL</v>
      </c>
    </row>
    <row r="76" spans="1:8" x14ac:dyDescent="0.25">
      <c r="A76">
        <v>75</v>
      </c>
      <c r="B76" t="s">
        <v>87</v>
      </c>
      <c r="C76" t="s">
        <v>14</v>
      </c>
      <c r="D76" s="4">
        <v>39.9</v>
      </c>
      <c r="E76" s="1">
        <v>45160</v>
      </c>
      <c r="F76" t="s">
        <v>9</v>
      </c>
      <c r="G76" t="s">
        <v>10</v>
      </c>
      <c r="H76" t="str">
        <f>TEXT(Tabela9[[#This Row],[data_cancelamento]],"yyyy-mm")</f>
        <v>NULL</v>
      </c>
    </row>
    <row r="77" spans="1:8" x14ac:dyDescent="0.25">
      <c r="A77">
        <v>76</v>
      </c>
      <c r="B77" t="s">
        <v>88</v>
      </c>
      <c r="C77" t="s">
        <v>12</v>
      </c>
      <c r="D77" s="4">
        <v>59.9</v>
      </c>
      <c r="E77" s="1">
        <v>45170</v>
      </c>
      <c r="F77" t="s">
        <v>9</v>
      </c>
      <c r="G77" t="s">
        <v>10</v>
      </c>
      <c r="H77" t="str">
        <f>TEXT(Tabela9[[#This Row],[data_cancelamento]],"yyyy-mm")</f>
        <v>NULL</v>
      </c>
    </row>
    <row r="78" spans="1:8" x14ac:dyDescent="0.25">
      <c r="A78">
        <v>77</v>
      </c>
      <c r="B78" t="s">
        <v>89</v>
      </c>
      <c r="C78" t="s">
        <v>8</v>
      </c>
      <c r="D78" s="4">
        <v>29.9</v>
      </c>
      <c r="E78" s="1">
        <v>45172</v>
      </c>
      <c r="F78" t="s">
        <v>9</v>
      </c>
      <c r="G78" t="s">
        <v>10</v>
      </c>
      <c r="H78" t="str">
        <f>TEXT(Tabela9[[#This Row],[data_cancelamento]],"yyyy-mm")</f>
        <v>NULL</v>
      </c>
    </row>
    <row r="79" spans="1:8" x14ac:dyDescent="0.25">
      <c r="A79">
        <v>78</v>
      </c>
      <c r="B79" t="s">
        <v>90</v>
      </c>
      <c r="C79" t="s">
        <v>14</v>
      </c>
      <c r="D79" s="4">
        <v>39.9</v>
      </c>
      <c r="E79" s="1">
        <v>45174</v>
      </c>
      <c r="F79" t="s">
        <v>9</v>
      </c>
      <c r="G79" t="s">
        <v>10</v>
      </c>
      <c r="H79" t="str">
        <f>TEXT(Tabela9[[#This Row],[data_cancelamento]],"yyyy-mm")</f>
        <v>NULL</v>
      </c>
    </row>
    <row r="80" spans="1:8" x14ac:dyDescent="0.25">
      <c r="A80">
        <v>79</v>
      </c>
      <c r="B80" t="s">
        <v>91</v>
      </c>
      <c r="C80" t="s">
        <v>12</v>
      </c>
      <c r="D80" s="4">
        <v>59.9</v>
      </c>
      <c r="E80" s="1">
        <v>45176</v>
      </c>
      <c r="F80" t="s">
        <v>9</v>
      </c>
      <c r="G80" t="s">
        <v>10</v>
      </c>
      <c r="H80" t="str">
        <f>TEXT(Tabela9[[#This Row],[data_cancelamento]],"yyyy-mm")</f>
        <v>NULL</v>
      </c>
    </row>
    <row r="81" spans="1:8" x14ac:dyDescent="0.25">
      <c r="A81">
        <v>80</v>
      </c>
      <c r="B81" t="s">
        <v>92</v>
      </c>
      <c r="C81" t="s">
        <v>8</v>
      </c>
      <c r="D81" s="4">
        <v>29.9</v>
      </c>
      <c r="E81" s="1">
        <v>45179</v>
      </c>
      <c r="F81" t="s">
        <v>9</v>
      </c>
      <c r="G81" t="s">
        <v>10</v>
      </c>
      <c r="H81" t="str">
        <f>TEXT(Tabela9[[#This Row],[data_cancelamento]],"yyyy-mm")</f>
        <v>NULL</v>
      </c>
    </row>
    <row r="82" spans="1:8" x14ac:dyDescent="0.25">
      <c r="A82">
        <v>81</v>
      </c>
      <c r="B82" t="s">
        <v>93</v>
      </c>
      <c r="C82" t="s">
        <v>14</v>
      </c>
      <c r="D82" s="4">
        <v>39.9</v>
      </c>
      <c r="E82" s="1">
        <v>45181</v>
      </c>
      <c r="F82" t="s">
        <v>9</v>
      </c>
      <c r="G82" t="s">
        <v>10</v>
      </c>
      <c r="H82" t="str">
        <f>TEXT(Tabela9[[#This Row],[data_cancelamento]],"yyyy-mm")</f>
        <v>NULL</v>
      </c>
    </row>
    <row r="83" spans="1:8" x14ac:dyDescent="0.25">
      <c r="A83">
        <v>82</v>
      </c>
      <c r="B83" t="s">
        <v>94</v>
      </c>
      <c r="C83" t="s">
        <v>12</v>
      </c>
      <c r="D83" s="4">
        <v>59.9</v>
      </c>
      <c r="E83" s="1">
        <v>45184</v>
      </c>
      <c r="F83" t="s">
        <v>9</v>
      </c>
      <c r="G83" t="s">
        <v>10</v>
      </c>
      <c r="H83" t="str">
        <f>TEXT(Tabela9[[#This Row],[data_cancelamento]],"yyyy-mm")</f>
        <v>NULL</v>
      </c>
    </row>
    <row r="84" spans="1:8" x14ac:dyDescent="0.25">
      <c r="A84">
        <v>83</v>
      </c>
      <c r="B84" t="s">
        <v>95</v>
      </c>
      <c r="C84" t="s">
        <v>8</v>
      </c>
      <c r="D84" s="4">
        <v>29.9</v>
      </c>
      <c r="E84" s="1">
        <v>45187</v>
      </c>
      <c r="F84" t="s">
        <v>9</v>
      </c>
      <c r="G84" t="s">
        <v>10</v>
      </c>
      <c r="H84" t="str">
        <f>TEXT(Tabela9[[#This Row],[data_cancelamento]],"yyyy-mm")</f>
        <v>NULL</v>
      </c>
    </row>
    <row r="85" spans="1:8" x14ac:dyDescent="0.25">
      <c r="A85">
        <v>84</v>
      </c>
      <c r="B85" t="s">
        <v>96</v>
      </c>
      <c r="C85" t="s">
        <v>14</v>
      </c>
      <c r="D85" s="4">
        <v>39.9</v>
      </c>
      <c r="E85" s="1">
        <v>45189</v>
      </c>
      <c r="F85" t="s">
        <v>9</v>
      </c>
      <c r="G85" t="s">
        <v>10</v>
      </c>
      <c r="H85" t="str">
        <f>TEXT(Tabela9[[#This Row],[data_cancelamento]],"yyyy-mm")</f>
        <v>NULL</v>
      </c>
    </row>
    <row r="86" spans="1:8" x14ac:dyDescent="0.25">
      <c r="A86">
        <v>85</v>
      </c>
      <c r="B86" t="s">
        <v>97</v>
      </c>
      <c r="C86" t="s">
        <v>12</v>
      </c>
      <c r="D86" s="4">
        <v>59.9</v>
      </c>
      <c r="E86" s="1">
        <v>45191</v>
      </c>
      <c r="F86" t="s">
        <v>9</v>
      </c>
      <c r="G86" t="s">
        <v>10</v>
      </c>
      <c r="H86" t="str">
        <f>TEXT(Tabela9[[#This Row],[data_cancelamento]],"yyyy-mm")</f>
        <v>NULL</v>
      </c>
    </row>
    <row r="87" spans="1:8" x14ac:dyDescent="0.25">
      <c r="A87">
        <v>86</v>
      </c>
      <c r="B87" t="s">
        <v>98</v>
      </c>
      <c r="C87" t="s">
        <v>8</v>
      </c>
      <c r="D87" s="4">
        <v>29.9</v>
      </c>
      <c r="E87" s="1">
        <v>45200</v>
      </c>
      <c r="F87" t="s">
        <v>9</v>
      </c>
      <c r="G87" t="s">
        <v>10</v>
      </c>
      <c r="H87" t="str">
        <f>TEXT(Tabela9[[#This Row],[data_cancelamento]],"yyyy-mm")</f>
        <v>NULL</v>
      </c>
    </row>
    <row r="88" spans="1:8" x14ac:dyDescent="0.25">
      <c r="A88">
        <v>87</v>
      </c>
      <c r="B88" t="s">
        <v>99</v>
      </c>
      <c r="C88" t="s">
        <v>14</v>
      </c>
      <c r="D88" s="4">
        <v>39.9</v>
      </c>
      <c r="E88" s="1">
        <v>45202</v>
      </c>
      <c r="F88" t="s">
        <v>9</v>
      </c>
      <c r="G88" t="s">
        <v>10</v>
      </c>
      <c r="H88" t="str">
        <f>TEXT(Tabela9[[#This Row],[data_cancelamento]],"yyyy-mm")</f>
        <v>NULL</v>
      </c>
    </row>
    <row r="89" spans="1:8" x14ac:dyDescent="0.25">
      <c r="A89">
        <v>88</v>
      </c>
      <c r="B89" t="s">
        <v>100</v>
      </c>
      <c r="C89" t="s">
        <v>12</v>
      </c>
      <c r="D89" s="4">
        <v>59.9</v>
      </c>
      <c r="E89" s="1">
        <v>45204</v>
      </c>
      <c r="F89" t="s">
        <v>9</v>
      </c>
      <c r="G89" t="s">
        <v>10</v>
      </c>
      <c r="H89" t="str">
        <f>TEXT(Tabela9[[#This Row],[data_cancelamento]],"yyyy-mm")</f>
        <v>NULL</v>
      </c>
    </row>
    <row r="90" spans="1:8" x14ac:dyDescent="0.25">
      <c r="A90">
        <v>89</v>
      </c>
      <c r="B90" t="s">
        <v>101</v>
      </c>
      <c r="C90" t="s">
        <v>8</v>
      </c>
      <c r="D90" s="4">
        <v>29.9</v>
      </c>
      <c r="E90" s="1">
        <v>45206</v>
      </c>
      <c r="F90" t="s">
        <v>9</v>
      </c>
      <c r="G90" t="s">
        <v>10</v>
      </c>
      <c r="H90" t="str">
        <f>TEXT(Tabela9[[#This Row],[data_cancelamento]],"yyyy-mm")</f>
        <v>NULL</v>
      </c>
    </row>
    <row r="91" spans="1:8" x14ac:dyDescent="0.25">
      <c r="A91">
        <v>90</v>
      </c>
      <c r="B91" t="s">
        <v>102</v>
      </c>
      <c r="C91" t="s">
        <v>14</v>
      </c>
      <c r="D91" s="4">
        <v>39.9</v>
      </c>
      <c r="E91" s="1">
        <v>45209</v>
      </c>
      <c r="F91" t="s">
        <v>9</v>
      </c>
      <c r="G91" t="s">
        <v>10</v>
      </c>
      <c r="H91" t="str">
        <f>TEXT(Tabela9[[#This Row],[data_cancelamento]],"yyyy-mm")</f>
        <v>NULL</v>
      </c>
    </row>
    <row r="92" spans="1:8" x14ac:dyDescent="0.25">
      <c r="A92">
        <v>91</v>
      </c>
      <c r="B92" t="s">
        <v>103</v>
      </c>
      <c r="C92" t="s">
        <v>12</v>
      </c>
      <c r="D92" s="4">
        <v>59.9</v>
      </c>
      <c r="E92" s="1">
        <v>45211</v>
      </c>
      <c r="F92" t="s">
        <v>9</v>
      </c>
      <c r="G92" t="s">
        <v>10</v>
      </c>
      <c r="H92" t="str">
        <f>TEXT(Tabela9[[#This Row],[data_cancelamento]],"yyyy-mm")</f>
        <v>NULL</v>
      </c>
    </row>
    <row r="93" spans="1:8" x14ac:dyDescent="0.25">
      <c r="A93">
        <v>92</v>
      </c>
      <c r="B93" t="s">
        <v>104</v>
      </c>
      <c r="C93" t="s">
        <v>8</v>
      </c>
      <c r="D93" s="4">
        <v>29.9</v>
      </c>
      <c r="E93" s="1">
        <v>45214</v>
      </c>
      <c r="F93" t="s">
        <v>9</v>
      </c>
      <c r="G93" t="s">
        <v>10</v>
      </c>
      <c r="H93" t="str">
        <f>TEXT(Tabela9[[#This Row],[data_cancelamento]],"yyyy-mm")</f>
        <v>NULL</v>
      </c>
    </row>
    <row r="94" spans="1:8" x14ac:dyDescent="0.25">
      <c r="A94">
        <v>93</v>
      </c>
      <c r="B94" t="s">
        <v>105</v>
      </c>
      <c r="C94" t="s">
        <v>14</v>
      </c>
      <c r="D94" s="4">
        <v>39.9</v>
      </c>
      <c r="E94" s="1">
        <v>45217</v>
      </c>
      <c r="F94" t="s">
        <v>9</v>
      </c>
      <c r="G94" t="s">
        <v>10</v>
      </c>
      <c r="H94" t="str">
        <f>TEXT(Tabela9[[#This Row],[data_cancelamento]],"yyyy-mm")</f>
        <v>NULL</v>
      </c>
    </row>
    <row r="95" spans="1:8" x14ac:dyDescent="0.25">
      <c r="A95">
        <v>94</v>
      </c>
      <c r="B95" t="s">
        <v>106</v>
      </c>
      <c r="C95" t="s">
        <v>12</v>
      </c>
      <c r="D95" s="4">
        <v>59.9</v>
      </c>
      <c r="E95" s="1">
        <v>45219</v>
      </c>
      <c r="F95" t="s">
        <v>9</v>
      </c>
      <c r="G95" t="s">
        <v>10</v>
      </c>
      <c r="H95" t="str">
        <f>TEXT(Tabela9[[#This Row],[data_cancelamento]],"yyyy-mm")</f>
        <v>NULL</v>
      </c>
    </row>
    <row r="96" spans="1:8" x14ac:dyDescent="0.25">
      <c r="A96">
        <v>95</v>
      </c>
      <c r="B96" t="s">
        <v>107</v>
      </c>
      <c r="C96" t="s">
        <v>8</v>
      </c>
      <c r="D96" s="4">
        <v>29.9</v>
      </c>
      <c r="E96" s="1">
        <v>45221</v>
      </c>
      <c r="F96" t="s">
        <v>9</v>
      </c>
      <c r="G96" t="s">
        <v>10</v>
      </c>
      <c r="H96" t="str">
        <f>TEXT(Tabela9[[#This Row],[data_cancelamento]],"yyyy-mm")</f>
        <v>NULL</v>
      </c>
    </row>
    <row r="97" spans="1:8" x14ac:dyDescent="0.25">
      <c r="A97">
        <v>96</v>
      </c>
      <c r="B97" t="s">
        <v>108</v>
      </c>
      <c r="C97" t="s">
        <v>14</v>
      </c>
      <c r="D97" s="4">
        <v>39.9</v>
      </c>
      <c r="E97" s="1">
        <v>45231</v>
      </c>
      <c r="F97" t="s">
        <v>9</v>
      </c>
      <c r="G97" t="s">
        <v>10</v>
      </c>
      <c r="H97" t="str">
        <f>TEXT(Tabela9[[#This Row],[data_cancelamento]],"yyyy-mm")</f>
        <v>NULL</v>
      </c>
    </row>
    <row r="98" spans="1:8" x14ac:dyDescent="0.25">
      <c r="A98">
        <v>97</v>
      </c>
      <c r="B98" t="s">
        <v>109</v>
      </c>
      <c r="C98" t="s">
        <v>12</v>
      </c>
      <c r="D98" s="4">
        <v>59.9</v>
      </c>
      <c r="E98" s="1">
        <v>45233</v>
      </c>
      <c r="F98" t="s">
        <v>9</v>
      </c>
      <c r="G98" t="s">
        <v>10</v>
      </c>
      <c r="H98" t="str">
        <f>TEXT(Tabela9[[#This Row],[data_cancelamento]],"yyyy-mm")</f>
        <v>NULL</v>
      </c>
    </row>
    <row r="99" spans="1:8" x14ac:dyDescent="0.25">
      <c r="A99">
        <v>98</v>
      </c>
      <c r="B99" t="s">
        <v>110</v>
      </c>
      <c r="C99" t="s">
        <v>8</v>
      </c>
      <c r="D99" s="4">
        <v>29.9</v>
      </c>
      <c r="E99" s="1">
        <v>45235</v>
      </c>
      <c r="F99" t="s">
        <v>9</v>
      </c>
      <c r="G99" t="s">
        <v>10</v>
      </c>
      <c r="H99" t="str">
        <f>TEXT(Tabela9[[#This Row],[data_cancelamento]],"yyyy-mm")</f>
        <v>NULL</v>
      </c>
    </row>
    <row r="100" spans="1:8" x14ac:dyDescent="0.25">
      <c r="A100">
        <v>99</v>
      </c>
      <c r="B100" t="s">
        <v>111</v>
      </c>
      <c r="C100" t="s">
        <v>14</v>
      </c>
      <c r="D100" s="4">
        <v>39.9</v>
      </c>
      <c r="E100" s="1">
        <v>45237</v>
      </c>
      <c r="F100" t="s">
        <v>9</v>
      </c>
      <c r="G100" t="s">
        <v>10</v>
      </c>
      <c r="H100" t="str">
        <f>TEXT(Tabela9[[#This Row],[data_cancelamento]],"yyyy-mm")</f>
        <v>NULL</v>
      </c>
    </row>
    <row r="101" spans="1:8" x14ac:dyDescent="0.25">
      <c r="A101">
        <v>100</v>
      </c>
      <c r="B101" t="s">
        <v>112</v>
      </c>
      <c r="C101" t="s">
        <v>12</v>
      </c>
      <c r="D101" s="4">
        <v>59.9</v>
      </c>
      <c r="E101" s="1">
        <v>45240</v>
      </c>
      <c r="F101" t="s">
        <v>9</v>
      </c>
      <c r="G101" t="s">
        <v>10</v>
      </c>
      <c r="H101" t="str">
        <f>TEXT(Tabela9[[#This Row],[data_cancelamento]],"yyyy-mm")</f>
        <v>NULL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6575-9516-4448-848A-002675DB06FC}">
  <dimension ref="A1:T36"/>
  <sheetViews>
    <sheetView showGridLines="0" tabSelected="1" workbookViewId="0">
      <selection activeCell="T5" sqref="T5"/>
    </sheetView>
  </sheetViews>
  <sheetFormatPr defaultColWidth="0" defaultRowHeight="15" x14ac:dyDescent="0.25"/>
  <cols>
    <col min="1" max="1" width="19.5703125" bestFit="1" customWidth="1"/>
    <col min="2" max="18" width="9.140625" customWidth="1"/>
    <col min="19" max="19" width="34.42578125" bestFit="1" customWidth="1"/>
    <col min="20" max="20" width="9.140625" customWidth="1"/>
    <col min="21" max="16384" width="9.140625" hidden="1"/>
  </cols>
  <sheetData>
    <row r="1" spans="1:19" ht="15" customHeight="1" x14ac:dyDescent="0.25">
      <c r="A1" s="12"/>
      <c r="B1" s="12"/>
      <c r="C1" s="13"/>
    </row>
    <row r="2" spans="1:19" ht="24" customHeight="1" x14ac:dyDescent="0.4">
      <c r="A2" s="26" t="s">
        <v>149</v>
      </c>
      <c r="B2" s="26"/>
      <c r="C2" s="13"/>
      <c r="S2" s="15" t="s">
        <v>153</v>
      </c>
    </row>
    <row r="3" spans="1:19" ht="15" customHeight="1" x14ac:dyDescent="0.25">
      <c r="A3" s="14"/>
      <c r="B3" s="12"/>
      <c r="C3" s="13"/>
      <c r="S3" s="13"/>
    </row>
    <row r="4" spans="1:19" ht="24" customHeight="1" x14ac:dyDescent="0.5">
      <c r="A4" s="26" t="s">
        <v>150</v>
      </c>
      <c r="B4" s="26"/>
      <c r="C4" s="13"/>
      <c r="S4" s="16">
        <v>3791.3999999999992</v>
      </c>
    </row>
    <row r="5" spans="1:19" ht="24" customHeight="1" x14ac:dyDescent="0.4">
      <c r="A5" s="26" t="s">
        <v>151</v>
      </c>
      <c r="B5" s="26"/>
      <c r="C5" s="13"/>
      <c r="S5" s="13"/>
    </row>
    <row r="6" spans="1:19" ht="15" customHeight="1" x14ac:dyDescent="0.25">
      <c r="A6" s="12"/>
      <c r="B6" s="12"/>
      <c r="C6" s="13"/>
    </row>
    <row r="7" spans="1:19" ht="15" customHeight="1" x14ac:dyDescent="0.3">
      <c r="A7" s="27" t="s">
        <v>152</v>
      </c>
      <c r="B7" s="27"/>
      <c r="C7" s="27"/>
      <c r="S7" s="15" t="s">
        <v>154</v>
      </c>
    </row>
    <row r="8" spans="1:19" ht="15" customHeight="1" x14ac:dyDescent="0.25">
      <c r="A8" s="12"/>
      <c r="B8" s="12"/>
      <c r="C8" s="13"/>
      <c r="S8" s="13"/>
    </row>
    <row r="9" spans="1:19" ht="15" customHeight="1" x14ac:dyDescent="0.35">
      <c r="A9" s="12"/>
      <c r="B9" s="12"/>
      <c r="C9" s="13"/>
      <c r="S9" s="11"/>
    </row>
    <row r="10" spans="1:19" ht="15" customHeight="1" x14ac:dyDescent="0.25">
      <c r="A10" s="12"/>
      <c r="B10" s="12"/>
      <c r="C10" s="13"/>
      <c r="S10" s="22">
        <v>4341</v>
      </c>
    </row>
    <row r="11" spans="1:19" ht="15" customHeight="1" x14ac:dyDescent="0.25">
      <c r="A11" s="12"/>
      <c r="B11" s="12"/>
      <c r="C11" s="13"/>
      <c r="S11" s="22"/>
    </row>
    <row r="12" spans="1:19" ht="15" customHeight="1" x14ac:dyDescent="0.25">
      <c r="A12" s="12"/>
      <c r="B12" s="12"/>
      <c r="C12" s="13"/>
    </row>
    <row r="13" spans="1:19" ht="15" customHeight="1" x14ac:dyDescent="0.25">
      <c r="A13" s="12"/>
      <c r="B13" s="12"/>
      <c r="C13" s="13"/>
      <c r="S13" s="15" t="s">
        <v>155</v>
      </c>
    </row>
    <row r="14" spans="1:19" ht="15" customHeight="1" x14ac:dyDescent="0.25">
      <c r="A14" s="12"/>
      <c r="B14" s="12"/>
      <c r="C14" s="13"/>
      <c r="S14" s="13"/>
    </row>
    <row r="15" spans="1:19" ht="15" customHeight="1" x14ac:dyDescent="0.25">
      <c r="A15" s="12"/>
      <c r="B15" s="12"/>
      <c r="C15" s="13"/>
      <c r="S15" s="23">
        <v>86</v>
      </c>
    </row>
    <row r="16" spans="1:19" ht="15" customHeight="1" x14ac:dyDescent="0.25">
      <c r="A16" s="12"/>
      <c r="B16" s="12"/>
      <c r="C16" s="13"/>
      <c r="S16" s="23"/>
    </row>
    <row r="17" spans="1:19" ht="15" customHeight="1" x14ac:dyDescent="0.25">
      <c r="A17" s="12"/>
      <c r="B17" s="12"/>
      <c r="C17" s="13"/>
      <c r="S17" s="13"/>
    </row>
    <row r="18" spans="1:19" ht="15" customHeight="1" x14ac:dyDescent="0.25">
      <c r="A18" s="12"/>
      <c r="B18" s="12"/>
      <c r="C18" s="13"/>
    </row>
    <row r="19" spans="1:19" ht="15" customHeight="1" x14ac:dyDescent="0.25">
      <c r="A19" s="12"/>
      <c r="B19" s="12"/>
      <c r="C19" s="13"/>
      <c r="S19" s="15" t="s">
        <v>156</v>
      </c>
    </row>
    <row r="20" spans="1:19" ht="15" customHeight="1" x14ac:dyDescent="0.25">
      <c r="A20" s="12"/>
      <c r="B20" s="12"/>
      <c r="C20" s="13"/>
      <c r="S20" s="13"/>
    </row>
    <row r="21" spans="1:19" ht="15" customHeight="1" x14ac:dyDescent="0.25">
      <c r="A21" s="12"/>
      <c r="B21" s="12"/>
      <c r="C21" s="13"/>
      <c r="S21" s="23">
        <v>14</v>
      </c>
    </row>
    <row r="22" spans="1:19" ht="15" customHeight="1" x14ac:dyDescent="0.25">
      <c r="A22" s="12"/>
      <c r="B22" s="12"/>
      <c r="C22" s="13"/>
      <c r="S22" s="23"/>
    </row>
    <row r="23" spans="1:19" ht="15" customHeight="1" x14ac:dyDescent="0.25">
      <c r="A23" s="12"/>
      <c r="B23" s="12"/>
      <c r="C23" s="13"/>
      <c r="S23" s="13"/>
    </row>
    <row r="24" spans="1:19" ht="15" customHeight="1" x14ac:dyDescent="0.25">
      <c r="A24" s="12"/>
      <c r="B24" s="12"/>
      <c r="C24" s="13"/>
      <c r="S24" s="13"/>
    </row>
    <row r="25" spans="1:19" ht="15" customHeight="1" x14ac:dyDescent="0.25">
      <c r="A25" s="12"/>
      <c r="B25" s="12"/>
      <c r="C25" s="13"/>
    </row>
    <row r="26" spans="1:19" ht="15" customHeight="1" x14ac:dyDescent="0.25">
      <c r="A26" s="12"/>
      <c r="B26" s="12"/>
      <c r="C26" s="13"/>
      <c r="S26" s="15" t="s">
        <v>157</v>
      </c>
    </row>
    <row r="27" spans="1:19" ht="15" customHeight="1" x14ac:dyDescent="0.25">
      <c r="A27" s="12"/>
      <c r="B27" s="12"/>
      <c r="C27" s="13"/>
      <c r="S27" s="13"/>
    </row>
    <row r="28" spans="1:19" ht="15" customHeight="1" x14ac:dyDescent="0.25">
      <c r="A28" s="12"/>
      <c r="B28" s="12"/>
      <c r="C28" s="13"/>
      <c r="S28" s="24">
        <v>43.4</v>
      </c>
    </row>
    <row r="29" spans="1:19" ht="15" customHeight="1" x14ac:dyDescent="0.25">
      <c r="A29" s="12"/>
      <c r="B29" s="12"/>
      <c r="C29" s="13"/>
      <c r="S29" s="25"/>
    </row>
    <row r="30" spans="1:19" ht="15" customHeight="1" x14ac:dyDescent="0.25">
      <c r="A30" s="12"/>
      <c r="B30" s="12"/>
      <c r="C30" s="13"/>
      <c r="E30" s="20" t="s">
        <v>159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S30" s="13"/>
    </row>
    <row r="31" spans="1:19" ht="15" customHeight="1" x14ac:dyDescent="0.25">
      <c r="A31" s="12"/>
      <c r="B31" s="12"/>
      <c r="C31" s="13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</row>
    <row r="32" spans="1:19" ht="15" customHeight="1" x14ac:dyDescent="0.25">
      <c r="A32" s="12"/>
      <c r="B32" s="12"/>
      <c r="C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S32" s="15" t="s">
        <v>158</v>
      </c>
    </row>
    <row r="33" spans="1:19" ht="15" customHeight="1" x14ac:dyDescent="0.25">
      <c r="A33" s="12"/>
      <c r="B33" s="12"/>
      <c r="C33" s="13"/>
      <c r="E33" s="21" t="s">
        <v>160</v>
      </c>
      <c r="F33" s="21"/>
      <c r="G33" s="21"/>
      <c r="H33" s="21"/>
      <c r="I33" s="21"/>
      <c r="J33" s="21"/>
      <c r="K33" s="21" t="s">
        <v>163</v>
      </c>
      <c r="L33" s="21"/>
      <c r="M33" s="21"/>
      <c r="N33" s="21"/>
      <c r="O33" s="21"/>
      <c r="P33" s="21"/>
      <c r="Q33" s="21"/>
      <c r="S33" s="13"/>
    </row>
    <row r="34" spans="1:19" ht="15" customHeight="1" x14ac:dyDescent="0.25">
      <c r="A34" s="12"/>
      <c r="B34" s="12"/>
      <c r="C34" s="13"/>
      <c r="E34" s="21" t="s">
        <v>161</v>
      </c>
      <c r="F34" s="21"/>
      <c r="G34" s="21"/>
      <c r="H34" s="21"/>
      <c r="I34" s="21"/>
      <c r="J34" s="21"/>
      <c r="K34" s="21" t="s">
        <v>164</v>
      </c>
      <c r="L34" s="21"/>
      <c r="M34" s="21"/>
      <c r="N34" s="21"/>
      <c r="O34" s="21"/>
      <c r="P34" s="21"/>
      <c r="Q34" s="21"/>
      <c r="S34" s="19">
        <v>94</v>
      </c>
    </row>
    <row r="35" spans="1:19" ht="15" customHeight="1" x14ac:dyDescent="0.25">
      <c r="A35" s="12"/>
      <c r="B35" s="12"/>
      <c r="C35" s="13"/>
      <c r="E35" s="21" t="s">
        <v>162</v>
      </c>
      <c r="F35" s="21"/>
      <c r="G35" s="21"/>
      <c r="H35" s="21"/>
      <c r="I35" s="21"/>
      <c r="J35" s="21"/>
      <c r="K35" s="18" t="s">
        <v>165</v>
      </c>
      <c r="L35" s="18"/>
      <c r="M35" s="18"/>
      <c r="N35" s="18"/>
      <c r="O35" s="18"/>
      <c r="P35" s="18"/>
      <c r="Q35" s="18"/>
      <c r="R35" s="18"/>
      <c r="S35" s="19"/>
    </row>
    <row r="36" spans="1:19" x14ac:dyDescent="0.25"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S36" s="13"/>
    </row>
  </sheetData>
  <mergeCells count="16">
    <mergeCell ref="S10:S11"/>
    <mergeCell ref="S15:S16"/>
    <mergeCell ref="S21:S22"/>
    <mergeCell ref="S28:S29"/>
    <mergeCell ref="A2:B2"/>
    <mergeCell ref="A4:B4"/>
    <mergeCell ref="A5:B5"/>
    <mergeCell ref="A7:C7"/>
    <mergeCell ref="K35:R35"/>
    <mergeCell ref="S34:S35"/>
    <mergeCell ref="E30:Q31"/>
    <mergeCell ref="E33:J33"/>
    <mergeCell ref="E34:J34"/>
    <mergeCell ref="E35:J35"/>
    <mergeCell ref="K33:Q33"/>
    <mergeCell ref="K34:Q3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137BC-4C33-4B3F-BD02-E2D19EFEFF3C}">
  <dimension ref="A1:A2"/>
  <sheetViews>
    <sheetView workbookViewId="0">
      <selection activeCell="A2" sqref="A2"/>
    </sheetView>
  </sheetViews>
  <sheetFormatPr defaultRowHeight="15" x14ac:dyDescent="0.25"/>
  <cols>
    <col min="1" max="1" width="8.42578125" bestFit="1" customWidth="1"/>
  </cols>
  <sheetData>
    <row r="1" spans="1:1" x14ac:dyDescent="0.25">
      <c r="A1" t="s">
        <v>113</v>
      </c>
    </row>
    <row r="2" spans="1:1" x14ac:dyDescent="0.25">
      <c r="A2">
        <v>86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03697-0687-4419-8846-848330ABC3F5}">
  <dimension ref="A1:A2"/>
  <sheetViews>
    <sheetView workbookViewId="0">
      <selection activeCell="B1" sqref="B1:B101"/>
    </sheetView>
  </sheetViews>
  <sheetFormatPr defaultRowHeight="15" x14ac:dyDescent="0.25"/>
  <cols>
    <col min="1" max="1" width="8.42578125" bestFit="1" customWidth="1"/>
  </cols>
  <sheetData>
    <row r="1" spans="1:1" x14ac:dyDescent="0.25">
      <c r="A1" t="s">
        <v>113</v>
      </c>
    </row>
    <row r="2" spans="1:1" x14ac:dyDescent="0.25">
      <c r="A2">
        <v>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47E7E-4471-48DC-BE5C-A948E860341C}">
  <dimension ref="A1:A2"/>
  <sheetViews>
    <sheetView workbookViewId="0">
      <selection activeCell="A2" sqref="A2"/>
    </sheetView>
  </sheetViews>
  <sheetFormatPr defaultRowHeight="15" x14ac:dyDescent="0.25"/>
  <cols>
    <col min="1" max="1" width="16.5703125" bestFit="1" customWidth="1"/>
  </cols>
  <sheetData>
    <row r="1" spans="1:1" x14ac:dyDescent="0.25">
      <c r="A1" s="5" t="s">
        <v>114</v>
      </c>
    </row>
    <row r="2" spans="1:1" x14ac:dyDescent="0.25">
      <c r="A2" s="5">
        <v>43.4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0268D-8D59-47F5-965C-BBECB0F74A08}">
  <dimension ref="A1:B4"/>
  <sheetViews>
    <sheetView workbookViewId="0"/>
  </sheetViews>
  <sheetFormatPr defaultRowHeight="15" x14ac:dyDescent="0.25"/>
  <cols>
    <col min="1" max="1" width="9" bestFit="1" customWidth="1"/>
    <col min="2" max="2" width="7.42578125" bestFit="1" customWidth="1"/>
  </cols>
  <sheetData>
    <row r="1" spans="1:2" x14ac:dyDescent="0.25">
      <c r="A1" t="s">
        <v>2</v>
      </c>
      <c r="B1" t="s">
        <v>115</v>
      </c>
    </row>
    <row r="2" spans="1:2" x14ac:dyDescent="0.25">
      <c r="A2" s="2" t="s">
        <v>116</v>
      </c>
      <c r="B2">
        <v>33</v>
      </c>
    </row>
    <row r="3" spans="1:2" x14ac:dyDescent="0.25">
      <c r="A3" s="2" t="s">
        <v>12</v>
      </c>
      <c r="B3">
        <v>34</v>
      </c>
    </row>
    <row r="4" spans="1:2" x14ac:dyDescent="0.25">
      <c r="A4" s="2" t="s">
        <v>117</v>
      </c>
      <c r="B4">
        <v>33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4F28-1221-4101-AAF7-5251F4B85FF0}">
  <dimension ref="A1:A2"/>
  <sheetViews>
    <sheetView workbookViewId="0">
      <selection activeCell="A2" sqref="A2"/>
    </sheetView>
  </sheetViews>
  <sheetFormatPr defaultRowHeight="15" x14ac:dyDescent="0.25"/>
  <cols>
    <col min="1" max="1" width="13.5703125" bestFit="1" customWidth="1"/>
  </cols>
  <sheetData>
    <row r="1" spans="1:1" x14ac:dyDescent="0.25">
      <c r="A1" t="s">
        <v>118</v>
      </c>
    </row>
    <row r="2" spans="1:1" x14ac:dyDescent="0.25">
      <c r="A2" s="17">
        <v>94.5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AD4B2-71CB-47CF-AD75-2C5AEBC6096D}">
  <dimension ref="A1:A2"/>
  <sheetViews>
    <sheetView workbookViewId="0">
      <selection sqref="A1:A2"/>
    </sheetView>
  </sheetViews>
  <sheetFormatPr defaultRowHeight="15" x14ac:dyDescent="0.25"/>
  <cols>
    <col min="1" max="1" width="8.42578125" bestFit="1" customWidth="1"/>
  </cols>
  <sheetData>
    <row r="1" spans="1:1" x14ac:dyDescent="0.25">
      <c r="A1" s="6" t="s">
        <v>119</v>
      </c>
    </row>
    <row r="2" spans="1:1" x14ac:dyDescent="0.25">
      <c r="A2" s="6">
        <v>0.14000000000000001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160F6-9EE9-400F-92DE-618A5FB351D7}">
  <dimension ref="A1:B4"/>
  <sheetViews>
    <sheetView workbookViewId="0">
      <selection activeCell="B1" sqref="B1:B4"/>
    </sheetView>
  </sheetViews>
  <sheetFormatPr defaultRowHeight="15" x14ac:dyDescent="0.25"/>
  <cols>
    <col min="1" max="1" width="9" bestFit="1" customWidth="1"/>
    <col min="2" max="2" width="12.140625" bestFit="1" customWidth="1"/>
  </cols>
  <sheetData>
    <row r="1" spans="1:2" x14ac:dyDescent="0.25">
      <c r="A1" t="s">
        <v>2</v>
      </c>
      <c r="B1" s="4" t="s">
        <v>122</v>
      </c>
    </row>
    <row r="2" spans="1:2" x14ac:dyDescent="0.25">
      <c r="A2" s="2" t="s">
        <v>116</v>
      </c>
      <c r="B2" s="4">
        <v>986.7</v>
      </c>
    </row>
    <row r="3" spans="1:2" x14ac:dyDescent="0.25">
      <c r="A3" s="2" t="s">
        <v>12</v>
      </c>
      <c r="B3" s="4">
        <v>2036.6</v>
      </c>
    </row>
    <row r="4" spans="1:2" x14ac:dyDescent="0.25">
      <c r="A4" s="2" t="s">
        <v>117</v>
      </c>
      <c r="B4" s="4">
        <v>1316.7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A1D4-DF34-460D-82C9-1255C6B5995E}">
  <dimension ref="A1:I15"/>
  <sheetViews>
    <sheetView workbookViewId="0">
      <selection activeCell="H3" sqref="H3:I15"/>
    </sheetView>
  </sheetViews>
  <sheetFormatPr defaultRowHeight="15" x14ac:dyDescent="0.25"/>
  <cols>
    <col min="1" max="1" width="13.5703125" bestFit="1" customWidth="1"/>
    <col min="2" max="2" width="17" bestFit="1" customWidth="1"/>
    <col min="8" max="8" width="18.42578125" bestFit="1" customWidth="1"/>
    <col min="9" max="9" width="23.140625" bestFit="1" customWidth="1"/>
  </cols>
  <sheetData>
    <row r="1" spans="1:9" x14ac:dyDescent="0.25">
      <c r="A1" t="s">
        <v>120</v>
      </c>
      <c r="B1" t="s">
        <v>121</v>
      </c>
    </row>
    <row r="2" spans="1:9" x14ac:dyDescent="0.25">
      <c r="A2" s="3">
        <v>44927</v>
      </c>
      <c r="B2">
        <v>5</v>
      </c>
    </row>
    <row r="3" spans="1:9" x14ac:dyDescent="0.25">
      <c r="A3" s="3">
        <v>44958</v>
      </c>
      <c r="B3">
        <v>10</v>
      </c>
      <c r="H3" s="7" t="s">
        <v>123</v>
      </c>
      <c r="I3" t="s">
        <v>127</v>
      </c>
    </row>
    <row r="4" spans="1:9" x14ac:dyDescent="0.25">
      <c r="A4" s="3">
        <v>44986</v>
      </c>
      <c r="B4">
        <v>10</v>
      </c>
      <c r="H4" s="8" t="s">
        <v>128</v>
      </c>
      <c r="I4" s="2">
        <v>5</v>
      </c>
    </row>
    <row r="5" spans="1:9" x14ac:dyDescent="0.25">
      <c r="A5" s="3">
        <v>45017</v>
      </c>
      <c r="B5">
        <v>10</v>
      </c>
      <c r="H5" s="8" t="s">
        <v>129</v>
      </c>
      <c r="I5" s="2">
        <v>10</v>
      </c>
    </row>
    <row r="6" spans="1:9" x14ac:dyDescent="0.25">
      <c r="A6" s="3">
        <v>45047</v>
      </c>
      <c r="B6">
        <v>10</v>
      </c>
      <c r="H6" s="8" t="s">
        <v>130</v>
      </c>
      <c r="I6" s="2">
        <v>10</v>
      </c>
    </row>
    <row r="7" spans="1:9" x14ac:dyDescent="0.25">
      <c r="A7" s="3">
        <v>45078</v>
      </c>
      <c r="B7">
        <v>10</v>
      </c>
      <c r="H7" s="8" t="s">
        <v>131</v>
      </c>
      <c r="I7" s="2">
        <v>10</v>
      </c>
    </row>
    <row r="8" spans="1:9" x14ac:dyDescent="0.25">
      <c r="A8" s="3">
        <v>45108</v>
      </c>
      <c r="B8">
        <v>10</v>
      </c>
      <c r="H8" s="8" t="s">
        <v>132</v>
      </c>
      <c r="I8" s="2">
        <v>10</v>
      </c>
    </row>
    <row r="9" spans="1:9" x14ac:dyDescent="0.25">
      <c r="A9" s="3">
        <v>45139</v>
      </c>
      <c r="B9">
        <v>10</v>
      </c>
      <c r="H9" s="8" t="s">
        <v>133</v>
      </c>
      <c r="I9" s="2">
        <v>10</v>
      </c>
    </row>
    <row r="10" spans="1:9" x14ac:dyDescent="0.25">
      <c r="A10" s="3">
        <v>45170</v>
      </c>
      <c r="B10">
        <v>10</v>
      </c>
      <c r="H10" s="8" t="s">
        <v>134</v>
      </c>
      <c r="I10" s="2">
        <v>10</v>
      </c>
    </row>
    <row r="11" spans="1:9" x14ac:dyDescent="0.25">
      <c r="A11" s="3">
        <v>45200</v>
      </c>
      <c r="B11">
        <v>10</v>
      </c>
      <c r="H11" s="8" t="s">
        <v>135</v>
      </c>
      <c r="I11" s="2">
        <v>10</v>
      </c>
    </row>
    <row r="12" spans="1:9" x14ac:dyDescent="0.25">
      <c r="A12" s="3">
        <v>45231</v>
      </c>
      <c r="B12">
        <v>5</v>
      </c>
      <c r="H12" s="8" t="s">
        <v>136</v>
      </c>
      <c r="I12" s="2">
        <v>10</v>
      </c>
    </row>
    <row r="13" spans="1:9" x14ac:dyDescent="0.25">
      <c r="H13" s="8" t="s">
        <v>137</v>
      </c>
      <c r="I13" s="2">
        <v>10</v>
      </c>
    </row>
    <row r="14" spans="1:9" x14ac:dyDescent="0.25">
      <c r="H14" s="8" t="s">
        <v>138</v>
      </c>
      <c r="I14" s="2">
        <v>5</v>
      </c>
    </row>
    <row r="15" spans="1:9" x14ac:dyDescent="0.25">
      <c r="H15" s="8" t="s">
        <v>124</v>
      </c>
      <c r="I15" s="2">
        <v>100</v>
      </c>
    </row>
  </sheetData>
  <pageMargins left="0.511811024" right="0.511811024" top="0.78740157499999996" bottom="0.78740157499999996" header="0.31496062000000002" footer="0.31496062000000002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E83A4D-DF1A-432A-80AA-F21B132CF4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00_Tabela Dinamica</vt:lpstr>
      <vt:lpstr>01_base_dados</vt:lpstr>
      <vt:lpstr>02_Dashboard</vt:lpstr>
      <vt:lpstr>001_Clientes Ativos</vt:lpstr>
      <vt:lpstr>002_Clientes Cancelados</vt:lpstr>
      <vt:lpstr>002_Ticket Médio</vt:lpstr>
      <vt:lpstr>003_Planos</vt:lpstr>
      <vt:lpstr>004_Dias Medio</vt:lpstr>
      <vt:lpstr>005_Porcentagem Cancelamento</vt:lpstr>
      <vt:lpstr>006_Receita por plano</vt:lpstr>
      <vt:lpstr>007_Clientes novos por 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Reus</dc:creator>
  <cp:lastModifiedBy>Felipe Reus</cp:lastModifiedBy>
  <dcterms:created xsi:type="dcterms:W3CDTF">2026-04-29T14:32:02Z</dcterms:created>
  <dcterms:modified xsi:type="dcterms:W3CDTF">2026-04-29T17:30:30Z</dcterms:modified>
</cp:coreProperties>
</file>